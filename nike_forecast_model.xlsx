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Summary" sheetId="2" state="visible" r:id="rId4"/>
    <sheet name="Assumptions" sheetId="3" state="visible" r:id="rId5"/>
    <sheet name="Revenue Build" sheetId="4" state="visible" r:id="rId6"/>
    <sheet name="Income Statement" sheetId="5" state="visible" r:id="rId7"/>
    <sheet name="Balance Sheet" sheetId="6" state="visible" r:id="rId8"/>
    <sheet name="Cash Flow" sheetId="7" state="visible" r:id="rId9"/>
    <sheet name="Scenarios" sheetId="8" state="visible" r:id="rId10"/>
    <sheet name="Ch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<sst xmlns="http://schemas.openxmlformats.org/spreadsheetml/2006/main" count="334" uniqueCount="197">
  <si>
    <t xml:space="preserve">NIKE, Inc.: Five-Year Financial Forecast</t>
  </si>
  <si>
    <t xml:space="preserve">Three-statement model: FY2024 to FY2026 actual, FY2027 to FY2031 forecast (years ending 31 May). $ millions.</t>
  </si>
  <si>
    <t xml:space="preserve">Purpose</t>
  </si>
  <si>
    <t xml:space="preserve">Forecast Nike's revenue, profit and cash flow for five years under base, upside and downside scenarios.</t>
  </si>
  <si>
    <t xml:space="preserve">Selected scenario</t>
  </si>
  <si>
    <t xml:space="preserve">Revenue</t>
  </si>
  <si>
    <t xml:space="preserve">Built up by region (North America, EMEA, Greater China, APLA, Converse), each with its own growth rate per scenario.</t>
  </si>
  <si>
    <t xml:space="preserve">Costs</t>
  </si>
  <si>
    <t xml:space="preserve">Gross margin by scenario; marketing (demand creation) and overhead as a % of revenue.</t>
  </si>
  <si>
    <t xml:space="preserve">Statements</t>
  </si>
  <si>
    <t xml:space="preserve">Linked income statement, balance sheet and cash flow. Cash is the balancing item; the balance sheet balances every year.</t>
  </si>
  <si>
    <t xml:space="preserve">Sheets</t>
  </si>
  <si>
    <t xml:space="preserve">Summary</t>
  </si>
  <si>
    <t xml:space="preserve">Key outputs and charts for the selected scenario</t>
  </si>
  <si>
    <t xml:space="preserve">Assumptions</t>
  </si>
  <si>
    <t xml:space="preserve">Every driver, with base / upside / downside tables. Change cell B6 to switch scenario.</t>
  </si>
  <si>
    <t xml:space="preserve">Revenue Build</t>
  </si>
  <si>
    <t xml:space="preserve">Revenue by region, growth and mix</t>
  </si>
  <si>
    <t xml:space="preserve">Income Statement / Balance Sheet / Cash Flow</t>
  </si>
  <si>
    <t xml:space="preserve">The three linked statements</t>
  </si>
  <si>
    <t xml:space="preserve">Scenarios</t>
  </si>
  <si>
    <t xml:space="preserve">All three scenarios side by side</t>
  </si>
  <si>
    <t xml:space="preserve">Checks</t>
  </si>
  <si>
    <t xml:space="preserve">Balance sheet, cash and source checks</t>
  </si>
  <si>
    <t xml:space="preserve">Sources</t>
  </si>
  <si>
    <t xml:space="preserve">NIKE, Inc. Form 10-K filings (FY2024 to FY2026) and fiscal 2026 fourth quarter results release (revenue by region).</t>
  </si>
  <si>
    <t xml:space="preserve">Note</t>
  </si>
  <si>
    <t xml:space="preserve">The forecast assumptions are my own judgement for this exercise, not company guidance.</t>
  </si>
  <si>
    <t xml:space="preserve">Colour key</t>
  </si>
  <si>
    <t xml:space="preserve">Blue = input, black = formula, green = link to another sheet, yellow = key assumption, grey = actual (history)</t>
  </si>
  <si>
    <t xml:space="preserve">Checks status</t>
  </si>
  <si>
    <t xml:space="preserve">Nike Five-Year Forecast: Summary</t>
  </si>
  <si>
    <t xml:space="preserve">Selected scenario shown. Change the scenario on the Assumptions sheet (cell B6).</t>
  </si>
  <si>
    <t xml:space="preserve">$ millions unless stated</t>
  </si>
  <si>
    <t xml:space="preserve">FY2024A</t>
  </si>
  <si>
    <t xml:space="preserve">FY2025A</t>
  </si>
  <si>
    <t xml:space="preserve">FY2026A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</si>
  <si>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</si>
  <si>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</si>
  <si>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</si>
  <si>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</si>
  <si>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</si>
  <si>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Revenue growth</t>
  </si>
  <si>
    <t xml:space="preserve">Gross margin</t>
  </si>
  <si>
    <t xml:space="preserve">Operating income (EBIT)</t>
  </si>
  <si>
    <t xml:space="preserve">EBIT margin</t>
  </si>
  <si>
    <t xml:space="preserve">Net income</t>
  </si>
  <si>
    <t xml:space="preserve">Diluted EPS ($)</t>
  </si>
  <si>
    <t xml:space="preserve">Cash from operations</t>
  </si>
  <si>
    <t xml:space="preserve">Free cash flow</t>
  </si>
  <si>
    <t xml:space="preserve">Cash returned to shareholders</t>
  </si>
  <si>
    <t xml:space="preserve">Cash and short-term investments</t>
  </si>
  <si>
    <t xml:space="preserve">Total debt</t>
  </si>
  <si>
    <t xml:space="preserve">Blue = input you can change. Yellow = key assumption. Forecast years only; history shown grey for reference.</t>
  </si>
  <si>
    <t xml:space="preserve">Scenario (1 = Base, 2 = Upside, 3 = Downside)</t>
  </si>
  <si>
    <t xml:space="preserve">Revenue growth by region: selected scenario</t>
  </si>
  <si>
    <t xml:space="preserve">North America</t>
  </si>
  <si>
    <t xml:space="preserve">Europe, Middle East &amp; Africa</t>
  </si>
  <si>
    <t xml:space="preserve">Greater China</t>
  </si>
  <si>
    <t xml:space="preserve">Asia Pacific &amp; Latin America</t>
  </si>
  <si>
    <t xml:space="preserve">Converse</t>
  </si>
  <si>
    <t xml:space="preserve">Revenue growth by region: Base case</t>
  </si>
  <si>
    <t xml:space="preserve">Revenue growth by region: Upside case</t>
  </si>
  <si>
    <t xml:space="preserve">Revenue growth by region: Downside case</t>
  </si>
  <si>
    <t xml:space="preserve">Global Brand Divisions and Corporate ($m, held flat)</t>
  </si>
  <si>
    <t xml:space="preserve">Margins and costs (% of revenue)</t>
  </si>
  <si>
    <t xml:space="preserve">Gross margin: base</t>
  </si>
  <si>
    <t xml:space="preserve">Gross margin: upside</t>
  </si>
  <si>
    <t xml:space="preserve">Gross margin: downside</t>
  </si>
  <si>
    <t xml:space="preserve">Gross margin: selected scenario</t>
  </si>
  <si>
    <t xml:space="preserve">Demand creation (marketing)</t>
  </si>
  <si>
    <t xml:space="preserve">Operating overhead</t>
  </si>
  <si>
    <t xml:space="preserve">Depreciation and amortization</t>
  </si>
  <si>
    <t xml:space="preserve">Stock-based compensation (non-cash, inside overhead)</t>
  </si>
  <si>
    <t xml:space="preserve">Capital expenditure</t>
  </si>
  <si>
    <t xml:space="preserve">Tax and interest</t>
  </si>
  <si>
    <t xml:space="preserve">Effective tax rate</t>
  </si>
  <si>
    <t xml:space="preserve">Interest rate on debt</t>
  </si>
  <si>
    <t xml:space="preserve">Interest earned on cash and investments</t>
  </si>
  <si>
    <t xml:space="preserve">Working capital</t>
  </si>
  <si>
    <t xml:space="preserve">Receivable days (on revenue)</t>
  </si>
  <si>
    <t xml:space="preserve">Inventory days (on cost of sales)</t>
  </si>
  <si>
    <t xml:space="preserve">Payable days (on cost of sales)</t>
  </si>
  <si>
    <t xml:space="preserve">Prepaid and other current assets (% of revenue)</t>
  </si>
  <si>
    <t xml:space="preserve">Accrued liabilities (% of revenue)</t>
  </si>
  <si>
    <t xml:space="preserve">Capital allocation</t>
  </si>
  <si>
    <t xml:space="preserve">Debt repaid ($m)</t>
  </si>
  <si>
    <t xml:space="preserve">Dividend per share growth</t>
  </si>
  <si>
    <t xml:space="preserve">Share buybacks ($m)</t>
  </si>
  <si>
    <t xml:space="preserve">Average buyback share price ($)</t>
  </si>
  <si>
    <t xml:space="preserve">New shares issued to employees (m)</t>
  </si>
  <si>
    <t xml:space="preserve">Revenue Build by Region</t>
  </si>
  <si>
    <t xml:space="preserve">FY2025 and FY2026 actual revenue by region from Nike's fiscal 2026 results; forecast = prior year x (1 + growth).</t>
  </si>
  <si>
    <t xml:space="preserve">Revenue ($m)</t>
  </si>
  <si>
    <t xml:space="preserve">Global Brand Divisions and Corporate</t>
  </si>
  <si>
    <t xml:space="preserve">Total revenue</t>
  </si>
  <si>
    <t xml:space="preserve">Growth</t>
  </si>
  <si>
    <t xml:space="preserve">Total revenue growth</t>
  </si>
  <si>
    <t xml:space="preserve">Revenue mix</t>
  </si>
  <si>
    <t xml:space="preserve">Income Statement</t>
  </si>
  <si>
    <t xml:space="preserve">FY2024 to FY2026 as reported (10-K). FY2027 to FY2031 forecast from the Assumptions sheet.</t>
  </si>
  <si>
    <t xml:space="preserve">Revenues</t>
  </si>
  <si>
    <t xml:space="preserve">Cost of sales</t>
  </si>
  <si>
    <t xml:space="preserve">Gross profit</t>
  </si>
  <si>
    <t xml:space="preserve">Demand creation expense</t>
  </si>
  <si>
    <t xml:space="preserve">Operating overhead expense</t>
  </si>
  <si>
    <t xml:space="preserve">Interest expense (income), net</t>
  </si>
  <si>
    <t xml:space="preserve">Forecast: opening debt x rate less opening cash x rate (avoids a circular reference)</t>
  </si>
  <si>
    <t xml:space="preserve">Other (income) expense, net</t>
  </si>
  <si>
    <t xml:space="preserve">Forecast: assumed nil</t>
  </si>
  <si>
    <t xml:space="preserve">Income before income taxes</t>
  </si>
  <si>
    <t xml:space="preserve">Income tax expense</t>
  </si>
  <si>
    <t xml:space="preserve">Diluted shares (m)</t>
  </si>
  <si>
    <t xml:space="preserve">Dividends per share ($)</t>
  </si>
  <si>
    <t xml:space="preserve">Margins</t>
  </si>
  <si>
    <t xml:space="preserve">Demand creation % of revenue</t>
  </si>
  <si>
    <t xml:space="preserve">Operating overhead % of revenue</t>
  </si>
  <si>
    <t xml:space="preserve">Net margin</t>
  </si>
  <si>
    <t xml:space="preserve">Balance Sheet</t>
  </si>
  <si>
    <t xml:space="preserve">Balances at 31 May. History from the 10-K (intangibles and goodwill combined; notes payable in short-term debt). Cash is the balancing figure from the cash flow.</t>
  </si>
  <si>
    <t xml:space="preserve">Assets</t>
  </si>
  <si>
    <t xml:space="preserve">Cash and equivalents</t>
  </si>
  <si>
    <t xml:space="preserve">Short-term investments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</si>
  <si>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</si>
  <si>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</si>
  <si>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</si>
  <si>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</si>
  <si>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Property, plant and equipment, net</t>
  </si>
  <si>
    <t xml:space="preserve">Operating lease right-of-use assets</t>
  </si>
  <si>
    <t xml:space="preserve">Intangible assets and goodwill</t>
  </si>
  <si>
    <t xml:space="preserve">Deferred income taxes and other assets</t>
  </si>
  <si>
    <t xml:space="preserve">Total assets</t>
  </si>
  <si>
    <t xml:space="preserve">Liabilities</t>
  </si>
  <si>
    <t xml:space="preserve">Short-term debt and current portion of long-term debt</t>
  </si>
  <si>
    <t xml:space="preserve">Accounts payable</t>
  </si>
  <si>
    <t xml:space="preserve">Accrued liabilities</t>
  </si>
  <si>
    <t xml:space="preserve">Income taxes payable</t>
  </si>
  <si>
    <t xml:space="preserve">Current operating lease liabilities</t>
  </si>
  <si>
    <t xml:space="preserve">Total current liabilities</t>
  </si>
  <si>
    <t xml:space="preserve">Long-term debt</t>
  </si>
  <si>
    <t xml:space="preserve">Operating lease liabilities</t>
  </si>
  <si>
    <t xml:space="preserve">Deferred income taxes and other liabilities</t>
  </si>
  <si>
    <t xml:space="preserve">Total liabilities</t>
  </si>
  <si>
    <t xml:space="preserve">Shareholders' equity</t>
  </si>
  <si>
    <t xml:space="preserve">Common stock and capital in excess of stated value</t>
  </si>
  <si>
    <t xml:space="preserve">Accumulated other comprehensive income (loss)</t>
  </si>
  <si>
    <t xml:space="preserve">Retained earnings (deficit)</t>
  </si>
  <si>
    <t xml:space="preserve">Total shareholders' equity</t>
  </si>
  <si>
    <t xml:space="preserve">Total liabilities and shareholders' equity</t>
  </si>
  <si>
    <t xml:space="preserve">Check: assets - liabilities - equity (should be 0)</t>
  </si>
  <si>
    <t xml:space="preserve">Cash Flow Statement</t>
  </si>
  <si>
    <t xml:space="preserve">History from the 10-K (smaller items grouped). Forecast built from the income statement and balance sheet movements.</t>
  </si>
  <si>
    <t xml:space="preserve">Operating activities</t>
  </si>
  <si>
    <t xml:space="preserve">Stock-based compensation</t>
  </si>
  <si>
    <t xml:space="preserve">(Increase) decrease in receivables</t>
  </si>
  <si>
    <t xml:space="preserve">(Increase) decrease in inventories</t>
  </si>
  <si>
    <t xml:space="preserve">(Increase) decrease in prepaid and other</t>
  </si>
  <si>
    <t xml:space="preserve">Increase (decrease) in payables</t>
  </si>
  <si>
    <t xml:space="preserve">Increase (decrease) in accrued liabilities</t>
  </si>
  <si>
    <t xml:space="preserve">Working capital and other items (history, total)</t>
  </si>
  <si>
    <t xml:space="preserve">Cash provided by operations</t>
  </si>
  <si>
    <t xml:space="preserve">Investing activities</t>
  </si>
  <si>
    <t xml:space="preserve">Additions to property, plant and equipment</t>
  </si>
  <si>
    <t xml:space="preserve">Short-term investments and other</t>
  </si>
  <si>
    <t xml:space="preserve">Cash used by investing activities</t>
  </si>
  <si>
    <t xml:space="preserve">Financing activities</t>
  </si>
  <si>
    <t xml:space="preserve">Debt repaid</t>
  </si>
  <si>
    <t xml:space="preserve">Dividends paid</t>
  </si>
  <si>
    <t xml:space="preserve">Share buybacks</t>
  </si>
  <si>
    <t xml:space="preserve">Share issuance and other</t>
  </si>
  <si>
    <t xml:space="preserve">Cash used by financing activities</t>
  </si>
  <si>
    <t xml:space="preserve">Effect of exchange rates</t>
  </si>
  <si>
    <t xml:space="preserve">Net change in cash</t>
  </si>
  <si>
    <t xml:space="preserve">Cash at beginning of year</t>
  </si>
  <si>
    <t xml:space="preserve">Cash at end of year</t>
  </si>
  <si>
    <t xml:space="preserve">Free cash flow (operations less capex)</t>
  </si>
  <si>
    <t xml:space="preserve">Scenario Comparison</t>
  </si>
  <si>
    <t xml:space="preserve">Revenue and operating income under each scenario, calculated in parallel (independent of the scenario selector).</t>
  </si>
  <si>
    <t xml:space="preserve">Base case</t>
  </si>
  <si>
    <t xml:space="preserve">Upside case</t>
  </si>
  <si>
    <t xml:space="preserve">Downside case</t>
  </si>
  <si>
    <t xml:space="preserve">Summary: FY2031</t>
  </si>
  <si>
    <t xml:space="preserve">Scenario</t>
  </si>
  <si>
    <t xml:space="preserve">FY2031 revenue</t>
  </si>
  <si>
    <t xml:space="preserve">Revenue CAGR FY26-31</t>
  </si>
  <si>
    <t xml:space="preserve">FY2031 EBIT</t>
  </si>
  <si>
    <t xml:space="preserve">FY2031 EBIT margin</t>
  </si>
  <si>
    <t xml:space="preserve">Chart data</t>
  </si>
  <si>
    <t xml:space="preserve">All should be 0 (or OK).</t>
  </si>
  <si>
    <t xml:space="preserve">Balance sheet balances</t>
  </si>
  <si>
    <t xml:space="preserve">Cash flow closing cash = balance sheet cash</t>
  </si>
  <si>
    <t xml:space="preserve">Revenue build = income statement revenue</t>
  </si>
  <si>
    <t xml:space="preserve">Reported net income agrees (history)</t>
  </si>
  <si>
    <t xml:space="preserve">Reported total assets agree (history)</t>
  </si>
  <si>
    <t xml:space="preserve">Base case scenario sheet = model (when scenario 1 selected)</t>
  </si>
  <si>
    <t xml:space="preserve">Cash stays positive</t>
  </si>
  <si>
    <t xml:space="preserve">Overall status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</si>
</sst>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\$0.00"/>
    <numFmt numFmtId="168" formatCode="#,##0"/>
    <numFmt numFmtId="169" formatCode="0%"/>
    <numFmt numFmtId="170" formatCode="0.0"/>
    <numFmt numFmtId="171" formatCode="#,##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4E7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10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E1E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/>
      <right/>
      <top style="thin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1E0D9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($m): actual FY2024-26, forecast FY2027-31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Summary!A5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Summary!$B$4:$I$4</c:f>
              <c:strCache>
                <c:ptCount val="8"/>
                <c:pt idx="0">
                  <c:v>FY2024A</c:v>
                </c:pt>
                <c:pt idx="1">
                  <c:v>FY2025A</c:v>
                </c:pt>
                <c:pt idx="2">
                  <c:v>FY2026A</c:v>
                </c:pt>
                <c:pt idx="3">
                  <c:v>FY2027E</c:v>
                </c:pt>
                <c:pt idx="4">
                  <c:v>FY2028E</c:v>
                </c:pt>
                <c:pt idx="5">
                  <c:v>FY2029E</c:v>
                </c:pt>
                <c:pt idx="6">
                  <c:v>FY2030E</c:v>
                </c:pt>
                <c:pt idx="7">
                  <c:v>FY2031E</c:v>
                </c:pt>
              </c:strCache>
            </c:strRef>
          </c:cat>
          <c:val>
            <c:numRef>
              <c:f>Summary!$B$5:$I$5</c:f>
              <c:numCache>
                <c:formatCode>#,##0;\(#,##0\);\-</c:formatCode>
                <c:ptCount val="8"/>
                <c:pt idx="0">
                  <c:v>51362</c:v>
                </c:pt>
                <c:pt idx="1">
                  <c:v>46309</c:v>
                </c:pt>
                <c:pt idx="2">
                  <c:v>46398</c:v>
                </c:pt>
                <c:pt idx="3">
                  <c:v>47184.99</c:v>
                </c:pt>
                <c:pt idx="4">
                  <c:v>48859.2816</c:v>
                </c:pt>
                <c:pt idx="5">
                  <c:v>51025.774188</c:v>
                </c:pt>
                <c:pt idx="6">
                  <c:v>53113.39418592</c:v>
                </c:pt>
                <c:pt idx="7">
                  <c:v>55144.7183984496</c:v>
                </c:pt>
              </c:numCache>
            </c:numRef>
          </c:val>
        </c:ser>
        <c:gapWidth val="150"/>
        <c:overlap val="0"/>
        <c:axId val="93230587"/>
        <c:axId val="19965658"/>
      </c:barChart>
      <c:catAx>
        <c:axId val="932305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965658"/>
        <c:crosses val="autoZero"/>
        <c:auto val="1"/>
        <c:lblAlgn val="ctr"/>
        <c:lblOffset val="100"/>
        <c:noMultiLvlLbl val="0"/>
      </c:catAx>
      <c:valAx>
        <c:axId val="1996565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305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EBIT margin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Summary!A9</c:f>
              <c:strCache>
                <c:ptCount val="1"/>
                <c:pt idx="0">
                  <c:v>EBIT margin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Summary!$B$4:$I$4</c:f>
              <c:strCache>
                <c:ptCount val="8"/>
                <c:pt idx="0">
                  <c:v>FY2024A</c:v>
                </c:pt>
                <c:pt idx="1">
                  <c:v>FY2025A</c:v>
                </c:pt>
                <c:pt idx="2">
                  <c:v>FY2026A</c:v>
                </c:pt>
                <c:pt idx="3">
                  <c:v>FY2027E</c:v>
                </c:pt>
                <c:pt idx="4">
                  <c:v>FY2028E</c:v>
                </c:pt>
                <c:pt idx="5">
                  <c:v>FY2029E</c:v>
                </c:pt>
                <c:pt idx="6">
                  <c:v>FY2030E</c:v>
                </c:pt>
                <c:pt idx="7">
                  <c:v>FY2031E</c:v>
                </c:pt>
              </c:strCache>
            </c:strRef>
          </c:cat>
          <c:val>
            <c:numRef>
              <c:f>Summary!$B$9:$I$9</c:f>
              <c:numCache>
                <c:formatCode>0.0%;\(0.0%\);\-</c:formatCode>
                <c:ptCount val="8"/>
                <c:pt idx="0">
                  <c:v>0.122872941084849</c:v>
                </c:pt>
                <c:pt idx="1">
                  <c:v>0.0799412641171263</c:v>
                </c:pt>
                <c:pt idx="2">
                  <c:v>0.0818354239406871</c:v>
                </c:pt>
                <c:pt idx="3">
                  <c:v>0.0869999999999999</c:v>
                </c:pt>
                <c:pt idx="4">
                  <c:v>0.0970000000000001</c:v>
                </c:pt>
                <c:pt idx="5">
                  <c:v>0.107</c:v>
                </c:pt>
                <c:pt idx="6">
                  <c:v>0.115</c:v>
                </c:pt>
                <c:pt idx="7">
                  <c:v>0.117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7797936"/>
        <c:axId val="40498576"/>
      </c:lineChart>
      <c:catAx>
        <c:axId val="4779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498576"/>
        <c:crosses val="autoZero"/>
        <c:auto val="1"/>
        <c:lblAlgn val="ctr"/>
        <c:lblOffset val="100"/>
        <c:noMultiLvlLbl val="0"/>
      </c:catAx>
      <c:valAx>
        <c:axId val="4049857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97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scenario ($m)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"Upside case"</c:f>
              <c:strCache>
                <c:ptCount val="1"/>
                <c:pt idx="0">
                  <c:v>Upside case</c:v>
                </c:pt>
              </c:strCache>
            </c:strRef>
          </c:tx>
          <c:spPr>
            <a:solidFill>
              <a:srgbClr val="2a78d6"/>
            </a:solidFill>
            <a:ln w="2844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Scenarios!$D$4:$I$4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FY2026A</c:v>
                  </c:pt>
                </c:lvl>
              </c:multiLvlStrCache>
            </c:multiLvlStrRef>
          </c:cat>
          <c:val>
            <c:numRef>
              <c:f>Scenarios!$D$21:$I$21</c:f>
              <c:numCache>
                <c:formatCode>#,##0;\(#,##0\);\-</c:formatCode>
                <c:ptCount val="6"/>
                <c:pt idx="0">
                  <c:v>46398</c:v>
                </c:pt>
                <c:pt idx="1">
                  <c:v>48322.56</c:v>
                </c:pt>
                <c:pt idx="2">
                  <c:v>51202.4394</c:v>
                </c:pt>
                <c:pt idx="3">
                  <c:v>54550.232238</c:v>
                </c:pt>
                <c:pt idx="4">
                  <c:v>57724.64098332</c:v>
                </c:pt>
                <c:pt idx="5">
                  <c:v>60509.7100147308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"Base case"</c:f>
              <c:strCache>
                <c:ptCount val="1"/>
                <c:pt idx="0">
                  <c:v>Base case</c:v>
                </c:pt>
              </c:strCache>
            </c:strRef>
          </c:tx>
          <c:spPr>
            <a:solidFill>
              <a:srgbClr val="1f4e79"/>
            </a:solidFill>
            <a:ln w="284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Scenarios!$D$4:$I$4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FY2026A</c:v>
                  </c:pt>
                </c:lvl>
              </c:multiLvlStrCache>
            </c:multiLvlStrRef>
          </c:cat>
          <c:val>
            <c:numRef>
              <c:f>Scenarios!$D$11:$I$11</c:f>
              <c:numCache>
                <c:formatCode>#,##0;\(#,##0\);\-</c:formatCode>
                <c:ptCount val="6"/>
                <c:pt idx="0">
                  <c:v>46398</c:v>
                </c:pt>
                <c:pt idx="1">
                  <c:v>47184.99</c:v>
                </c:pt>
                <c:pt idx="2">
                  <c:v>48859.2816</c:v>
                </c:pt>
                <c:pt idx="3">
                  <c:v>51025.774188</c:v>
                </c:pt>
                <c:pt idx="4">
                  <c:v>53113.39418592</c:v>
                </c:pt>
                <c:pt idx="5">
                  <c:v>55144.7183984496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"Downside case"</c:f>
              <c:strCache>
                <c:ptCount val="1"/>
                <c:pt idx="0">
                  <c:v>Downside case</c:v>
                </c:pt>
              </c:strCache>
            </c:strRef>
          </c:tx>
          <c:spPr>
            <a:solidFill>
              <a:srgbClr val="eb6834"/>
            </a:solidFill>
            <a:ln w="2844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Scenarios!$D$4:$I$4</c:f>
              <c:multiLvlStrCache>
                <c:ptCount val="1"/>
                <c:lvl>
                  <c:pt idx="0">
                    <c:v>FY2031E</c:v>
                  </c:pt>
                </c:lvl>
                <c:lvl>
                  <c:pt idx="0">
                    <c:v>FY2030E</c:v>
                  </c:pt>
                </c:lvl>
                <c:lvl>
                  <c:pt idx="0">
                    <c:v>FY2029E</c:v>
                  </c:pt>
                </c:lvl>
                <c:lvl>
                  <c:pt idx="0">
                    <c:v>FY2028E</c:v>
                  </c:pt>
                </c:lvl>
                <c:lvl>
                  <c:pt idx="0">
                    <c:v>FY2027E</c:v>
                  </c:pt>
                </c:lvl>
                <c:lvl>
                  <c:pt idx="0">
                    <c:v>FY2026A</c:v>
                  </c:pt>
                </c:lvl>
              </c:multiLvlStrCache>
            </c:multiLvlStrRef>
          </c:cat>
          <c:val>
            <c:numRef>
              <c:f>Scenarios!$D$31:$I$31</c:f>
              <c:numCache>
                <c:formatCode>#,##0;\(#,##0\);\-</c:formatCode>
                <c:ptCount val="6"/>
                <c:pt idx="0">
                  <c:v>46398</c:v>
                </c:pt>
                <c:pt idx="1">
                  <c:v>45376.28</c:v>
                </c:pt>
                <c:pt idx="2">
                  <c:v>45466.6719</c:v>
                </c:pt>
                <c:pt idx="3">
                  <c:v>46014.030922</c:v>
                </c:pt>
                <c:pt idx="4">
                  <c:v>46884.9837473</c:v>
                </c:pt>
                <c:pt idx="5">
                  <c:v>47822.6648523902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3353236"/>
        <c:axId val="72335449"/>
      </c:lineChart>
      <c:catAx>
        <c:axId val="133532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35449"/>
        <c:crosses val="autoZero"/>
        <c:auto val="1"/>
        <c:lblAlgn val="ctr"/>
        <c:lblOffset val="100"/>
        <c:noMultiLvlLbl val="0"/>
      </c:catAx>
      <c:valAx>
        <c:axId val="72335449"/>
        <c:scaling>
          <c:orientation val="minMax"/>
          <c:min val="35000"/>
        </c:scaling>
        <c:delete val="0"/>
        <c:axPos val="l"/>
        <c:majorGridlines>
          <c:spPr>
            <a:ln w="9360">
              <a:solidFill>
                <a:srgbClr val="e1e0d9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5323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19</xdr:row>
      <xdr:rowOff>160560</xdr:rowOff>
    </xdr:from>
    <xdr:to>
      <xdr:col>2</xdr:col>
      <xdr:colOff>662040</xdr:colOff>
      <xdr:row>34</xdr:row>
      <xdr:rowOff>2520</xdr:rowOff>
    </xdr:to>
    <xdr:graphicFrame>
      <xdr:nvGraphicFramePr>
        <xdr:cNvPr id="0" name="Chart 1"/>
        <xdr:cNvGraphicFramePr/>
      </xdr:nvGraphicFramePr>
      <xdr:xfrm>
        <a:off x="0" y="3809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19</xdr:row>
      <xdr:rowOff>160560</xdr:rowOff>
    </xdr:from>
    <xdr:to>
      <xdr:col>11</xdr:col>
      <xdr:colOff>355320</xdr:colOff>
      <xdr:row>34</xdr:row>
      <xdr:rowOff>2520</xdr:rowOff>
    </xdr:to>
    <xdr:graphicFrame>
      <xdr:nvGraphicFramePr>
        <xdr:cNvPr id="1" name="Chart 2"/>
        <xdr:cNvGraphicFramePr/>
      </xdr:nvGraphicFramePr>
      <xdr:xfrm>
        <a:off x="6343560" y="380988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40</xdr:row>
      <xdr:rowOff>160560</xdr:rowOff>
    </xdr:from>
    <xdr:to>
      <xdr:col>4</xdr:col>
      <xdr:colOff>191160</xdr:colOff>
      <xdr:row>55</xdr:row>
      <xdr:rowOff>182880</xdr:rowOff>
    </xdr:to>
    <xdr:graphicFrame>
      <xdr:nvGraphicFramePr>
        <xdr:cNvPr id="2" name="Chart 1"/>
        <xdr:cNvGraphicFramePr/>
      </xdr:nvGraphicFramePr>
      <xdr:xfrm>
        <a:off x="0" y="8001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5" t="str">
        <f aca="false">Assumptions!C6</f>
        <v>Base case</v>
      </c>
    </row>
    <row r="6" customFormat="false" ht="15" hidden="false" customHeight="false" outlineLevel="0" collapsed="false">
      <c r="A6" s="3" t="s">
        <v>5</v>
      </c>
      <c r="B6" s="4" t="s">
        <v>6</v>
      </c>
    </row>
    <row r="7" customFormat="false" ht="15" hidden="false" customHeight="false" outlineLevel="0" collapsed="false">
      <c r="A7" s="3" t="s">
        <v>7</v>
      </c>
      <c r="B7" s="4" t="s">
        <v>8</v>
      </c>
    </row>
    <row r="8" customFormat="false" ht="15" hidden="false" customHeight="false" outlineLevel="0" collapsed="false">
      <c r="A8" s="3" t="s">
        <v>9</v>
      </c>
      <c r="B8" s="4" t="s">
        <v>10</v>
      </c>
    </row>
    <row r="9" customFormat="false" ht="15" hidden="false" customHeight="false" outlineLevel="0" collapsed="false">
      <c r="A9" s="3"/>
      <c r="B9" s="4"/>
    </row>
    <row r="10" customFormat="false" ht="15" hidden="false" customHeight="false" outlineLevel="0" collapsed="false">
      <c r="A10" s="3" t="s">
        <v>11</v>
      </c>
      <c r="B10" s="4"/>
    </row>
    <row r="11" customFormat="false" ht="15" hidden="false" customHeight="false" outlineLevel="0" collapsed="false">
      <c r="A11" s="3" t="s">
        <v>12</v>
      </c>
      <c r="B11" s="4" t="s">
        <v>13</v>
      </c>
    </row>
    <row r="12" customFormat="false" ht="15" hidden="false" customHeight="false" outlineLevel="0" collapsed="false">
      <c r="A12" s="3" t="s">
        <v>14</v>
      </c>
      <c r="B12" s="4" t="s">
        <v>15</v>
      </c>
    </row>
    <row r="13" customFormat="false" ht="15" hidden="false" customHeight="false" outlineLevel="0" collapsed="false">
      <c r="A13" s="3" t="s">
        <v>16</v>
      </c>
      <c r="B13" s="4" t="s">
        <v>17</v>
      </c>
    </row>
    <row r="14" customFormat="false" ht="15" hidden="false" customHeight="false" outlineLevel="0" collapsed="false">
      <c r="A14" s="3" t="s">
        <v>18</v>
      </c>
      <c r="B14" s="4" t="s">
        <v>19</v>
      </c>
    </row>
    <row r="15" customFormat="false" ht="15" hidden="false" customHeight="false" outlineLevel="0" collapsed="false">
      <c r="A15" s="3" t="s">
        <v>20</v>
      </c>
      <c r="B15" s="4" t="s">
        <v>21</v>
      </c>
    </row>
    <row r="16" customFormat="false" ht="15" hidden="false" customHeight="false" outlineLevel="0" collapsed="false">
      <c r="A16" s="3" t="s">
        <v>22</v>
      </c>
      <c r="B16" s="4" t="s">
        <v>23</v>
      </c>
    </row>
    <row r="17" customFormat="false" ht="15" hidden="false" customHeight="false" outlineLevel="0" collapsed="false">
      <c r="A17" s="3"/>
      <c r="B17" s="4"/>
    </row>
    <row r="18" customFormat="false" ht="15" hidden="false" customHeight="false" outlineLevel="0" collapsed="false">
      <c r="A18" s="3" t="s">
        <v>24</v>
      </c>
      <c r="B18" s="4" t="s">
        <v>25</v>
      </c>
    </row>
    <row r="19" customFormat="false" ht="15" hidden="false" customHeight="false" outlineLevel="0" collapsed="false">
      <c r="A19" s="3" t="s">
        <v>26</v>
      </c>
      <c r="B19" s="4" t="s">
        <v>27</v>
      </c>
    </row>
    <row r="20" customFormat="false" ht="15" hidden="false" customHeight="false" outlineLevel="0" collapsed="false">
      <c r="A20" s="3" t="s">
        <v>28</v>
      </c>
      <c r="B20" s="4" t="s">
        <v>29</v>
      </c>
    </row>
    <row r="21" customFormat="false" ht="15" hidden="false" customHeight="false" outlineLevel="0" collapsed="false">
      <c r="A21" s="3" t="s">
        <v>30</v>
      </c>
      <c r="B21" s="5" t="str">
        <f aca="false">Checks!B13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6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3" t="str">
        <f aca="false">"Scenario: "&amp;Assumptions!C6</f>
        <v>Scenario: Base case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</row>
    <row r="5" customFormat="false" ht="15" hidden="false" customHeight="false" outlineLevel="0" collapsed="false">
      <c r="A5" s="4" t="s">
        <v>5</v>
      </c>
      <c r="B5" s="9" t="n">
        <f aca="false">'Income Statement'!B5</f>
        <v>51362</v>
      </c>
      <c r="C5" s="9" t="n">
        <f aca="false">'Income Statement'!C5</f>
        <v>46309</v>
      </c>
      <c r="D5" s="9" t="n">
        <f aca="false">'Income Statement'!D5</f>
        <v>46398</v>
      </c>
      <c r="E5" s="10" t="n">
        <f aca="false">'Income Statement'!E5</f>
        <v>47184.99</v>
      </c>
      <c r="F5" s="10" t="n">
        <f aca="false">'Income Statement'!F5</f>
        <v>48859.2816</v>
      </c>
      <c r="G5" s="10" t="n">
        <f aca="false">'Income Statement'!G5</f>
        <v>51025.774188</v>
      </c>
      <c r="H5" s="10" t="n">
        <f aca="false">'Income Statement'!H5</f>
        <v>53113.39418592</v>
      </c>
      <c r="I5" s="10" t="n">
        <f aca="false">'Income Statement'!I5</f>
        <v>55144.7183984496</v>
      </c>
    </row>
    <row r="6" customFormat="false" ht="15" hidden="false" customHeight="false" outlineLevel="0" collapsed="false">
      <c r="A6" s="4" t="s">
        <v>42</v>
      </c>
      <c r="B6" s="11"/>
      <c r="C6" s="11" t="n">
        <f aca="false">'Revenue Build'!C20</f>
        <v>-0.0983801253845256</v>
      </c>
      <c r="D6" s="11" t="n">
        <f aca="false">'Revenue Build'!D20</f>
        <v>0.00192187263814803</v>
      </c>
      <c r="E6" s="12" t="n">
        <f aca="false">'Revenue Build'!E20</f>
        <v>0.0169617224880383</v>
      </c>
      <c r="F6" s="12" t="n">
        <f aca="false">'Revenue Build'!F20</f>
        <v>0.0354835637349928</v>
      </c>
      <c r="G6" s="12" t="n">
        <f aca="false">'Revenue Build'!G20</f>
        <v>0.0443414744763664</v>
      </c>
      <c r="H6" s="12" t="n">
        <f aca="false">'Revenue Build'!H20</f>
        <v>0.0409130489667506</v>
      </c>
      <c r="I6" s="12" t="n">
        <f aca="false">'Revenue Build'!I20</f>
        <v>0.0382450461632913</v>
      </c>
    </row>
    <row r="7" customFormat="false" ht="15" hidden="false" customHeight="false" outlineLevel="0" collapsed="false">
      <c r="A7" s="4" t="s">
        <v>43</v>
      </c>
      <c r="B7" s="11" t="n">
        <f aca="false">'Income Statement'!B22</f>
        <v>0.445601806783225</v>
      </c>
      <c r="C7" s="11" t="n">
        <f aca="false">'Income Statement'!C22</f>
        <v>0.427346736055626</v>
      </c>
      <c r="D7" s="11" t="n">
        <f aca="false">'Income Statement'!D22</f>
        <v>0.429134876503298</v>
      </c>
      <c r="E7" s="12" t="n">
        <f aca="false">'Income Statement'!E22</f>
        <v>0.43</v>
      </c>
      <c r="F7" s="12" t="n">
        <f aca="false">'Income Statement'!F22</f>
        <v>0.435</v>
      </c>
      <c r="G7" s="12" t="n">
        <f aca="false">'Income Statement'!G22</f>
        <v>0.44</v>
      </c>
      <c r="H7" s="12" t="n">
        <f aca="false">'Income Statement'!H22</f>
        <v>0.445</v>
      </c>
      <c r="I7" s="12" t="n">
        <f aca="false">'Income Statement'!I22</f>
        <v>0.445</v>
      </c>
    </row>
    <row r="8" customFormat="false" ht="15" hidden="false" customHeight="false" outlineLevel="0" collapsed="false">
      <c r="A8" s="4" t="s">
        <v>44</v>
      </c>
      <c r="B8" s="9" t="n">
        <f aca="false">'Income Statement'!B10</f>
        <v>6311</v>
      </c>
      <c r="C8" s="9" t="n">
        <f aca="false">'Income Statement'!C10</f>
        <v>3702</v>
      </c>
      <c r="D8" s="9" t="n">
        <f aca="false">'Income Statement'!D10</f>
        <v>3797</v>
      </c>
      <c r="E8" s="10" t="n">
        <f aca="false">'Income Statement'!E10</f>
        <v>4105.09413</v>
      </c>
      <c r="F8" s="10" t="n">
        <f aca="false">'Income Statement'!F10</f>
        <v>4739.35031520001</v>
      </c>
      <c r="G8" s="10" t="n">
        <f aca="false">'Income Statement'!G10</f>
        <v>5459.757838116</v>
      </c>
      <c r="H8" s="10" t="n">
        <f aca="false">'Income Statement'!H10</f>
        <v>6108.04033138081</v>
      </c>
      <c r="I8" s="10" t="n">
        <f aca="false">'Income Statement'!I10</f>
        <v>6451.93205261861</v>
      </c>
    </row>
    <row r="9" customFormat="false" ht="15" hidden="false" customHeight="false" outlineLevel="0" collapsed="false">
      <c r="A9" s="4" t="s">
        <v>45</v>
      </c>
      <c r="B9" s="11" t="n">
        <f aca="false">'Income Statement'!B25</f>
        <v>0.122872941084849</v>
      </c>
      <c r="C9" s="11" t="n">
        <f aca="false">'Income Statement'!C25</f>
        <v>0.0799412641171263</v>
      </c>
      <c r="D9" s="11" t="n">
        <f aca="false">'Income Statement'!D25</f>
        <v>0.0818354239406871</v>
      </c>
      <c r="E9" s="12" t="n">
        <f aca="false">'Income Statement'!E25</f>
        <v>0.0869999999999999</v>
      </c>
      <c r="F9" s="12" t="n">
        <f aca="false">'Income Statement'!F25</f>
        <v>0.0970000000000001</v>
      </c>
      <c r="G9" s="12" t="n">
        <f aca="false">'Income Statement'!G25</f>
        <v>0.107</v>
      </c>
      <c r="H9" s="12" t="n">
        <f aca="false">'Income Statement'!H25</f>
        <v>0.115</v>
      </c>
      <c r="I9" s="12" t="n">
        <f aca="false">'Income Statement'!I25</f>
        <v>0.117</v>
      </c>
    </row>
    <row r="10" customFormat="false" ht="15" hidden="false" customHeight="false" outlineLevel="0" collapsed="false">
      <c r="A10" s="4" t="s">
        <v>46</v>
      </c>
      <c r="B10" s="9" t="n">
        <f aca="false">'Income Statement'!B15</f>
        <v>5700</v>
      </c>
      <c r="C10" s="9" t="n">
        <f aca="false">'Income Statement'!C15</f>
        <v>3219</v>
      </c>
      <c r="D10" s="9" t="n">
        <f aca="false">'Income Statement'!D15</f>
        <v>3108</v>
      </c>
      <c r="E10" s="10" t="n">
        <f aca="false">'Income Statement'!E15</f>
        <v>3323.7208953</v>
      </c>
      <c r="F10" s="10" t="n">
        <f aca="false">'Income Statement'!F15</f>
        <v>3874.92795691624</v>
      </c>
      <c r="G10" s="10" t="n">
        <f aca="false">'Income Statement'!G15</f>
        <v>4465.8093254168</v>
      </c>
      <c r="H10" s="10" t="n">
        <f aca="false">'Income Statement'!H15</f>
        <v>4998.89045250008</v>
      </c>
      <c r="I10" s="10" t="n">
        <f aca="false">'Income Statement'!I15</f>
        <v>5275.91483393109</v>
      </c>
    </row>
    <row r="11" customFormat="false" ht="15" hidden="false" customHeight="false" outlineLevel="0" collapsed="false">
      <c r="A11" s="4" t="s">
        <v>47</v>
      </c>
      <c r="B11" s="13" t="n">
        <f aca="false">'Income Statement'!B18</f>
        <v>3.72622082761326</v>
      </c>
      <c r="C11" s="13" t="n">
        <f aca="false">'Income Statement'!C18</f>
        <v>2.16388814197365</v>
      </c>
      <c r="D11" s="13" t="n">
        <f aca="false">'Income Statement'!D18</f>
        <v>2.09858203916273</v>
      </c>
      <c r="E11" s="14" t="n">
        <f aca="false">'Income Statement'!E18</f>
        <v>2.25235208626609</v>
      </c>
      <c r="F11" s="14" t="n">
        <f aca="false">'Income Statement'!F18</f>
        <v>2.65952502190545</v>
      </c>
      <c r="G11" s="14" t="n">
        <f aca="false">'Income Statement'!G18</f>
        <v>3.11930802706645</v>
      </c>
      <c r="H11" s="14" t="n">
        <f aca="false">'Income Statement'!H18</f>
        <v>3.57148639140278</v>
      </c>
      <c r="I11" s="14" t="n">
        <f aca="false">'Income Statement'!I18</f>
        <v>3.87649877584944</v>
      </c>
    </row>
    <row r="12" customFormat="false" ht="15" hidden="false" customHeight="false" outlineLevel="0" collapsed="false">
      <c r="A12" s="4" t="s">
        <v>48</v>
      </c>
      <c r="B12" s="9" t="n">
        <f aca="false">'Cash Flow'!B15</f>
        <v>7429</v>
      </c>
      <c r="C12" s="9" t="n">
        <f aca="false">'Cash Flow'!C15</f>
        <v>3698</v>
      </c>
      <c r="D12" s="9" t="n">
        <f aca="false">'Cash Flow'!D15</f>
        <v>2868</v>
      </c>
      <c r="E12" s="10" t="n">
        <f aca="false">'Cash Flow'!E15</f>
        <v>5308.81870790274</v>
      </c>
      <c r="F12" s="10" t="n">
        <f aca="false">'Cash Flow'!F15</f>
        <v>5651.76603637377</v>
      </c>
      <c r="G12" s="10" t="n">
        <f aca="false">'Cash Flow'!G15</f>
        <v>6291.20850642786</v>
      </c>
      <c r="H12" s="10" t="n">
        <f aca="false">'Cash Flow'!H15</f>
        <v>6560.96877858743</v>
      </c>
      <c r="I12" s="10" t="n">
        <f aca="false">'Cash Flow'!I15</f>
        <v>6796.4601261587</v>
      </c>
    </row>
    <row r="13" customFormat="false" ht="15" hidden="false" customHeight="false" outlineLevel="0" collapsed="false">
      <c r="A13" s="4" t="s">
        <v>49</v>
      </c>
      <c r="B13" s="9" t="n">
        <f aca="false">'Cash Flow'!B35</f>
        <v>6617</v>
      </c>
      <c r="C13" s="9" t="n">
        <f aca="false">'Cash Flow'!C35</f>
        <v>3268</v>
      </c>
      <c r="D13" s="9" t="n">
        <f aca="false">'Cash Flow'!D35</f>
        <v>2184</v>
      </c>
      <c r="E13" s="10" t="n">
        <f aca="false">'Cash Flow'!E35</f>
        <v>4553.85886790274</v>
      </c>
      <c r="F13" s="10" t="n">
        <f aca="false">'Cash Flow'!F35</f>
        <v>4870.01753077377</v>
      </c>
      <c r="G13" s="10" t="n">
        <f aca="false">'Cash Flow'!G35</f>
        <v>5474.79611941986</v>
      </c>
      <c r="H13" s="10" t="n">
        <f aca="false">'Cash Flow'!H35</f>
        <v>5711.15447161271</v>
      </c>
      <c r="I13" s="10" t="n">
        <f aca="false">'Cash Flow'!I35</f>
        <v>5914.14463178351</v>
      </c>
    </row>
    <row r="14" customFormat="false" ht="15" hidden="false" customHeight="false" outlineLevel="0" collapsed="false">
      <c r="A14" s="4" t="s">
        <v>50</v>
      </c>
      <c r="B14" s="9" t="n">
        <f aca="false">'Cash Flow'!B36</f>
        <v>6419</v>
      </c>
      <c r="C14" s="9" t="n">
        <f aca="false">'Cash Flow'!C36</f>
        <v>5285</v>
      </c>
      <c r="D14" s="9" t="n">
        <f aca="false">'Cash Flow'!D36</f>
        <v>2553</v>
      </c>
      <c r="E14" s="10" t="n">
        <f aca="false">'Cash Flow'!E36</f>
        <v>3518.24858203916</v>
      </c>
      <c r="F14" s="10" t="n">
        <f aca="false">'Cash Flow'!F36</f>
        <v>4610.71330013504</v>
      </c>
      <c r="G14" s="10" t="n">
        <f aca="false">'Cash Flow'!G36</f>
        <v>5193.58597695814</v>
      </c>
      <c r="H14" s="10" t="n">
        <f aca="false">'Cash Flow'!H36</f>
        <v>5765.04910200456</v>
      </c>
      <c r="I14" s="10" t="n">
        <f aca="false">'Cash Flow'!I36</f>
        <v>6323.09603659415</v>
      </c>
    </row>
    <row r="15" customFormat="false" ht="15" hidden="false" customHeight="false" outlineLevel="0" collapsed="false">
      <c r="A15" s="4" t="s">
        <v>51</v>
      </c>
      <c r="B15" s="9" t="n">
        <f aca="false">'Balance Sheet'!B6+'Balance Sheet'!B7</f>
        <v>11582</v>
      </c>
      <c r="C15" s="9" t="n">
        <f aca="false">'Balance Sheet'!C6+'Balance Sheet'!C7</f>
        <v>9151</v>
      </c>
      <c r="D15" s="9" t="n">
        <f aca="false">'Balance Sheet'!D6+'Balance Sheet'!D7</f>
        <v>9027</v>
      </c>
      <c r="E15" s="10" t="n">
        <f aca="false">'Balance Sheet'!E6+'Balance Sheet'!E7</f>
        <v>8062.61028586357</v>
      </c>
      <c r="F15" s="10" t="n">
        <f aca="false">'Balance Sheet'!F6+'Balance Sheet'!F7</f>
        <v>8321.9145165023</v>
      </c>
      <c r="G15" s="10" t="n">
        <f aca="false">'Balance Sheet'!G6+'Balance Sheet'!G7</f>
        <v>8603.12465896403</v>
      </c>
      <c r="H15" s="10" t="n">
        <f aca="false">'Balance Sheet'!H6+'Balance Sheet'!H7</f>
        <v>8549.23002857218</v>
      </c>
      <c r="I15" s="10" t="n">
        <f aca="false">'Balance Sheet'!I6+'Balance Sheet'!I7</f>
        <v>8140.27862376154</v>
      </c>
    </row>
    <row r="16" customFormat="false" ht="15" hidden="false" customHeight="false" outlineLevel="0" collapsed="false">
      <c r="A16" s="4" t="s">
        <v>52</v>
      </c>
      <c r="B16" s="9" t="n">
        <f aca="false">'Balance Sheet'!B19+'Balance Sheet'!B25</f>
        <v>8909</v>
      </c>
      <c r="C16" s="9" t="n">
        <f aca="false">'Balance Sheet'!C19+'Balance Sheet'!C25</f>
        <v>7966</v>
      </c>
      <c r="D16" s="9" t="n">
        <f aca="false">'Balance Sheet'!D19+'Balance Sheet'!D25</f>
        <v>7942</v>
      </c>
      <c r="E16" s="10" t="n">
        <f aca="false">'Balance Sheet'!E19+'Balance Sheet'!E25</f>
        <v>5942</v>
      </c>
      <c r="F16" s="10" t="n">
        <f aca="false">'Balance Sheet'!F19+'Balance Sheet'!F25</f>
        <v>5942</v>
      </c>
      <c r="G16" s="10" t="n">
        <f aca="false">'Balance Sheet'!G19+'Balance Sheet'!G25</f>
        <v>5942</v>
      </c>
      <c r="H16" s="10" t="n">
        <f aca="false">'Balance Sheet'!H19+'Balance Sheet'!H25</f>
        <v>5942</v>
      </c>
      <c r="I16" s="10" t="n">
        <f aca="false">'Balance Sheet'!I19+'Balance Sheet'!I25</f>
        <v>5942</v>
      </c>
    </row>
    <row r="17" customFormat="false" ht="15" hidden="false" customHeight="false" outlineLevel="0" collapsed="false">
      <c r="B17" s="15"/>
      <c r="C17" s="15"/>
      <c r="D17" s="15"/>
      <c r="E17" s="15"/>
      <c r="F17" s="15"/>
      <c r="G17" s="15"/>
      <c r="H17" s="15"/>
      <c r="I17" s="15"/>
    </row>
    <row r="18" customFormat="false" ht="15" hidden="false" customHeight="false" outlineLevel="0" collapsed="false">
      <c r="A18" s="3" t="s">
        <v>30</v>
      </c>
      <c r="B18" s="3" t="str">
        <f aca="false">Checks!B13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6" t="s">
        <v>14</v>
      </c>
    </row>
    <row r="2" customFormat="false" ht="15" hidden="false" customHeight="false" outlineLevel="0" collapsed="false">
      <c r="A2" s="2" t="s">
        <v>53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</row>
    <row r="6" customFormat="false" ht="15" hidden="false" customHeight="false" outlineLevel="0" collapsed="false">
      <c r="A6" s="3" t="s">
        <v>54</v>
      </c>
      <c r="B6" s="16" t="n">
        <v>1</v>
      </c>
      <c r="C6" s="3" t="str">
        <f aca="false">CHOOSE(B6,"Base case","Upside case","Downside case")</f>
        <v>Base case</v>
      </c>
    </row>
    <row r="8" customFormat="false" ht="15" hidden="false" customHeight="false" outlineLevel="0" collapsed="false">
      <c r="A8" s="17" t="s">
        <v>55</v>
      </c>
      <c r="B8" s="18"/>
      <c r="C8" s="18"/>
      <c r="D8" s="18"/>
      <c r="E8" s="18"/>
      <c r="F8" s="18"/>
      <c r="G8" s="18"/>
      <c r="H8" s="18"/>
      <c r="I8" s="18"/>
    </row>
    <row r="9" customFormat="false" ht="15" hidden="false" customHeight="false" outlineLevel="0" collapsed="false">
      <c r="A9" s="4" t="s">
        <v>56</v>
      </c>
      <c r="B9" s="19"/>
      <c r="C9" s="19"/>
      <c r="D9" s="19"/>
      <c r="E9" s="20" t="n">
        <f aca="false">CHOOSE(Assumptions!$B$6,E16,E23,E30)</f>
        <v>0.04</v>
      </c>
      <c r="F9" s="20" t="n">
        <f aca="false">CHOOSE(Assumptions!$B$6,F16,F23,F30)</f>
        <v>0.05</v>
      </c>
      <c r="G9" s="20" t="n">
        <f aca="false">CHOOSE(Assumptions!$B$6,G16,G23,G30)</f>
        <v>0.05</v>
      </c>
      <c r="H9" s="20" t="n">
        <f aca="false">CHOOSE(Assumptions!$B$6,H16,H23,H30)</f>
        <v>0.04</v>
      </c>
      <c r="I9" s="20" t="n">
        <f aca="false">CHOOSE(Assumptions!$B$6,I16,I23,I30)</f>
        <v>0.04</v>
      </c>
    </row>
    <row r="10" customFormat="false" ht="15" hidden="false" customHeight="false" outlineLevel="0" collapsed="false">
      <c r="A10" s="4" t="s">
        <v>57</v>
      </c>
      <c r="B10" s="19"/>
      <c r="C10" s="19"/>
      <c r="D10" s="19"/>
      <c r="E10" s="20" t="n">
        <f aca="false">CHOOSE(Assumptions!$B$6,E17,E24,E31)</f>
        <v>0.02</v>
      </c>
      <c r="F10" s="20" t="n">
        <f aca="false">CHOOSE(Assumptions!$B$6,F17,F24,F31)</f>
        <v>0.03</v>
      </c>
      <c r="G10" s="20" t="n">
        <f aca="false">CHOOSE(Assumptions!$B$6,G17,G24,G31)</f>
        <v>0.04</v>
      </c>
      <c r="H10" s="20" t="n">
        <f aca="false">CHOOSE(Assumptions!$B$6,H17,H24,H31)</f>
        <v>0.04</v>
      </c>
      <c r="I10" s="20" t="n">
        <f aca="false">CHOOSE(Assumptions!$B$6,I17,I24,I31)</f>
        <v>0.03</v>
      </c>
    </row>
    <row r="11" customFormat="false" ht="15" hidden="false" customHeight="false" outlineLevel="0" collapsed="false">
      <c r="A11" s="4" t="s">
        <v>58</v>
      </c>
      <c r="B11" s="19"/>
      <c r="C11" s="19"/>
      <c r="D11" s="19"/>
      <c r="E11" s="20" t="n">
        <f aca="false">CHOOSE(Assumptions!$B$6,E18,E25,E32)</f>
        <v>-0.05</v>
      </c>
      <c r="F11" s="20" t="n">
        <f aca="false">CHOOSE(Assumptions!$B$6,F18,F25,F32)</f>
        <v>0</v>
      </c>
      <c r="G11" s="20" t="n">
        <f aca="false">CHOOSE(Assumptions!$B$6,G18,G25,G32)</f>
        <v>0.03</v>
      </c>
      <c r="H11" s="20" t="n">
        <f aca="false">CHOOSE(Assumptions!$B$6,H18,H25,H32)</f>
        <v>0.04</v>
      </c>
      <c r="I11" s="20" t="n">
        <f aca="false">CHOOSE(Assumptions!$B$6,I18,I25,I32)</f>
        <v>0.04</v>
      </c>
    </row>
    <row r="12" customFormat="false" ht="15" hidden="false" customHeight="false" outlineLevel="0" collapsed="false">
      <c r="A12" s="4" t="s">
        <v>59</v>
      </c>
      <c r="B12" s="19"/>
      <c r="C12" s="19"/>
      <c r="D12" s="19"/>
      <c r="E12" s="20" t="n">
        <f aca="false">CHOOSE(Assumptions!$B$6,E19,E26,E33)</f>
        <v>0.02</v>
      </c>
      <c r="F12" s="20" t="n">
        <f aca="false">CHOOSE(Assumptions!$B$6,F19,F26,F33)</f>
        <v>0.04</v>
      </c>
      <c r="G12" s="20" t="n">
        <f aca="false">CHOOSE(Assumptions!$B$6,G19,G26,G33)</f>
        <v>0.05</v>
      </c>
      <c r="H12" s="20" t="n">
        <f aca="false">CHOOSE(Assumptions!$B$6,H19,H26,H33)</f>
        <v>0.05</v>
      </c>
      <c r="I12" s="20" t="n">
        <f aca="false">CHOOSE(Assumptions!$B$6,I19,I26,I33)</f>
        <v>0.05</v>
      </c>
    </row>
    <row r="13" customFormat="false" ht="15" hidden="false" customHeight="false" outlineLevel="0" collapsed="false">
      <c r="A13" s="4" t="s">
        <v>60</v>
      </c>
      <c r="B13" s="19"/>
      <c r="C13" s="19"/>
      <c r="D13" s="19"/>
      <c r="E13" s="20" t="n">
        <f aca="false">CHOOSE(Assumptions!$B$6,E20,E27,E34)</f>
        <v>-0.1</v>
      </c>
      <c r="F13" s="20" t="n">
        <f aca="false">CHOOSE(Assumptions!$B$6,F20,F27,F34)</f>
        <v>-0.03</v>
      </c>
      <c r="G13" s="20" t="n">
        <f aca="false">CHOOSE(Assumptions!$B$6,G20,G27,G34)</f>
        <v>0.02</v>
      </c>
      <c r="H13" s="20" t="n">
        <f aca="false">CHOOSE(Assumptions!$B$6,H20,H27,H34)</f>
        <v>0.02</v>
      </c>
      <c r="I13" s="20" t="n">
        <f aca="false">CHOOSE(Assumptions!$B$6,I20,I27,I34)</f>
        <v>0.02</v>
      </c>
    </row>
    <row r="15" customFormat="false" ht="15" hidden="false" customHeight="false" outlineLevel="0" collapsed="false">
      <c r="A15" s="17" t="s">
        <v>61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4" t="s">
        <v>56</v>
      </c>
      <c r="B16" s="19"/>
      <c r="C16" s="19"/>
      <c r="D16" s="19"/>
      <c r="E16" s="21" t="n">
        <v>0.04</v>
      </c>
      <c r="F16" s="21" t="n">
        <v>0.05</v>
      </c>
      <c r="G16" s="21" t="n">
        <v>0.05</v>
      </c>
      <c r="H16" s="21" t="n">
        <v>0.04</v>
      </c>
      <c r="I16" s="21" t="n">
        <v>0.04</v>
      </c>
    </row>
    <row r="17" customFormat="false" ht="15" hidden="false" customHeight="false" outlineLevel="0" collapsed="false">
      <c r="A17" s="4" t="s">
        <v>57</v>
      </c>
      <c r="B17" s="19"/>
      <c r="C17" s="19"/>
      <c r="D17" s="19"/>
      <c r="E17" s="21" t="n">
        <v>0.02</v>
      </c>
      <c r="F17" s="21" t="n">
        <v>0.03</v>
      </c>
      <c r="G17" s="21" t="n">
        <v>0.04</v>
      </c>
      <c r="H17" s="21" t="n">
        <v>0.04</v>
      </c>
      <c r="I17" s="21" t="n">
        <v>0.03</v>
      </c>
    </row>
    <row r="18" customFormat="false" ht="15" hidden="false" customHeight="false" outlineLevel="0" collapsed="false">
      <c r="A18" s="4" t="s">
        <v>58</v>
      </c>
      <c r="B18" s="19"/>
      <c r="C18" s="19"/>
      <c r="D18" s="19"/>
      <c r="E18" s="21" t="n">
        <v>-0.05</v>
      </c>
      <c r="F18" s="21" t="n">
        <v>0</v>
      </c>
      <c r="G18" s="21" t="n">
        <v>0.03</v>
      </c>
      <c r="H18" s="21" t="n">
        <v>0.04</v>
      </c>
      <c r="I18" s="21" t="n">
        <v>0.04</v>
      </c>
    </row>
    <row r="19" customFormat="false" ht="15" hidden="false" customHeight="false" outlineLevel="0" collapsed="false">
      <c r="A19" s="4" t="s">
        <v>59</v>
      </c>
      <c r="B19" s="19"/>
      <c r="C19" s="19"/>
      <c r="D19" s="19"/>
      <c r="E19" s="21" t="n">
        <v>0.02</v>
      </c>
      <c r="F19" s="21" t="n">
        <v>0.04</v>
      </c>
      <c r="G19" s="21" t="n">
        <v>0.05</v>
      </c>
      <c r="H19" s="21" t="n">
        <v>0.05</v>
      </c>
      <c r="I19" s="21" t="n">
        <v>0.05</v>
      </c>
    </row>
    <row r="20" customFormat="false" ht="15" hidden="false" customHeight="false" outlineLevel="0" collapsed="false">
      <c r="A20" s="4" t="s">
        <v>60</v>
      </c>
      <c r="B20" s="19"/>
      <c r="C20" s="19"/>
      <c r="D20" s="19"/>
      <c r="E20" s="21" t="n">
        <v>-0.1</v>
      </c>
      <c r="F20" s="21" t="n">
        <v>-0.03</v>
      </c>
      <c r="G20" s="21" t="n">
        <v>0.02</v>
      </c>
      <c r="H20" s="21" t="n">
        <v>0.02</v>
      </c>
      <c r="I20" s="21" t="n">
        <v>0.02</v>
      </c>
    </row>
    <row r="22" customFormat="false" ht="15" hidden="false" customHeight="false" outlineLevel="0" collapsed="false">
      <c r="A22" s="17" t="s">
        <v>62</v>
      </c>
      <c r="B22" s="18"/>
      <c r="C22" s="18"/>
      <c r="D22" s="18"/>
      <c r="E22" s="18"/>
      <c r="F22" s="18"/>
      <c r="G22" s="18"/>
      <c r="H22" s="18"/>
      <c r="I22" s="18"/>
    </row>
    <row r="23" customFormat="false" ht="15" hidden="false" customHeight="false" outlineLevel="0" collapsed="false">
      <c r="A23" s="4" t="s">
        <v>56</v>
      </c>
      <c r="B23" s="19"/>
      <c r="C23" s="19"/>
      <c r="D23" s="19"/>
      <c r="E23" s="21" t="n">
        <v>0.06</v>
      </c>
      <c r="F23" s="21" t="n">
        <v>0.07</v>
      </c>
      <c r="G23" s="21" t="n">
        <v>0.07</v>
      </c>
      <c r="H23" s="21" t="n">
        <v>0.06</v>
      </c>
      <c r="I23" s="21" t="n">
        <v>0.05</v>
      </c>
    </row>
    <row r="24" customFormat="false" ht="15" hidden="false" customHeight="false" outlineLevel="0" collapsed="false">
      <c r="A24" s="4" t="s">
        <v>57</v>
      </c>
      <c r="B24" s="19"/>
      <c r="C24" s="19"/>
      <c r="D24" s="19"/>
      <c r="E24" s="21" t="n">
        <v>0.04</v>
      </c>
      <c r="F24" s="21" t="n">
        <v>0.05</v>
      </c>
      <c r="G24" s="21" t="n">
        <v>0.06</v>
      </c>
      <c r="H24" s="21" t="n">
        <v>0.05</v>
      </c>
      <c r="I24" s="21" t="n">
        <v>0.04</v>
      </c>
    </row>
    <row r="25" customFormat="false" ht="15" hidden="false" customHeight="false" outlineLevel="0" collapsed="false">
      <c r="A25" s="4" t="s">
        <v>58</v>
      </c>
      <c r="B25" s="19"/>
      <c r="C25" s="19"/>
      <c r="D25" s="19"/>
      <c r="E25" s="21" t="n">
        <v>0</v>
      </c>
      <c r="F25" s="21" t="n">
        <v>0.05</v>
      </c>
      <c r="G25" s="21" t="n">
        <v>0.06</v>
      </c>
      <c r="H25" s="21" t="n">
        <v>0.06</v>
      </c>
      <c r="I25" s="21" t="n">
        <v>0.05</v>
      </c>
    </row>
    <row r="26" customFormat="false" ht="15" hidden="false" customHeight="false" outlineLevel="0" collapsed="false">
      <c r="A26" s="4" t="s">
        <v>59</v>
      </c>
      <c r="B26" s="19"/>
      <c r="C26" s="19"/>
      <c r="D26" s="19"/>
      <c r="E26" s="21" t="n">
        <v>0.04</v>
      </c>
      <c r="F26" s="21" t="n">
        <v>0.06</v>
      </c>
      <c r="G26" s="21" t="n">
        <v>0.07</v>
      </c>
      <c r="H26" s="21" t="n">
        <v>0.07</v>
      </c>
      <c r="I26" s="21" t="n">
        <v>0.06</v>
      </c>
    </row>
    <row r="27" customFormat="false" ht="15" hidden="false" customHeight="false" outlineLevel="0" collapsed="false">
      <c r="A27" s="4" t="s">
        <v>60</v>
      </c>
      <c r="B27" s="19"/>
      <c r="C27" s="19"/>
      <c r="D27" s="19"/>
      <c r="E27" s="21" t="n">
        <v>-0.05</v>
      </c>
      <c r="F27" s="21" t="n">
        <v>0.02</v>
      </c>
      <c r="G27" s="21" t="n">
        <v>0.04</v>
      </c>
      <c r="H27" s="21" t="n">
        <v>0.04</v>
      </c>
      <c r="I27" s="21" t="n">
        <v>0.03</v>
      </c>
    </row>
    <row r="29" customFormat="false" ht="15" hidden="false" customHeight="false" outlineLevel="0" collapsed="false">
      <c r="A29" s="17" t="s">
        <v>63</v>
      </c>
      <c r="B29" s="18"/>
      <c r="C29" s="18"/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A30" s="4" t="s">
        <v>56</v>
      </c>
      <c r="B30" s="19"/>
      <c r="C30" s="19"/>
      <c r="D30" s="19"/>
      <c r="E30" s="21" t="n">
        <v>0.01</v>
      </c>
      <c r="F30" s="21" t="n">
        <v>0.02</v>
      </c>
      <c r="G30" s="21" t="n">
        <v>0.02</v>
      </c>
      <c r="H30" s="21" t="n">
        <v>0.02</v>
      </c>
      <c r="I30" s="21" t="n">
        <v>0.02</v>
      </c>
    </row>
    <row r="31" customFormat="false" ht="15" hidden="false" customHeight="false" outlineLevel="0" collapsed="false">
      <c r="A31" s="4" t="s">
        <v>57</v>
      </c>
      <c r="B31" s="19"/>
      <c r="C31" s="19"/>
      <c r="D31" s="19"/>
      <c r="E31" s="21" t="n">
        <v>-0.02</v>
      </c>
      <c r="F31" s="21" t="n">
        <v>0</v>
      </c>
      <c r="G31" s="21" t="n">
        <v>0.01</v>
      </c>
      <c r="H31" s="21" t="n">
        <v>0.02</v>
      </c>
      <c r="I31" s="21" t="n">
        <v>0.02</v>
      </c>
    </row>
    <row r="32" customFormat="false" ht="15" hidden="false" customHeight="false" outlineLevel="0" collapsed="false">
      <c r="A32" s="4" t="s">
        <v>58</v>
      </c>
      <c r="B32" s="19"/>
      <c r="C32" s="19"/>
      <c r="D32" s="19"/>
      <c r="E32" s="21" t="n">
        <v>-0.12</v>
      </c>
      <c r="F32" s="21" t="n">
        <v>-0.06</v>
      </c>
      <c r="G32" s="21" t="n">
        <v>-0.02</v>
      </c>
      <c r="H32" s="21" t="n">
        <v>0</v>
      </c>
      <c r="I32" s="21" t="n">
        <v>0.01</v>
      </c>
    </row>
    <row r="33" customFormat="false" ht="15" hidden="false" customHeight="false" outlineLevel="0" collapsed="false">
      <c r="A33" s="4" t="s">
        <v>59</v>
      </c>
      <c r="B33" s="19"/>
      <c r="C33" s="19"/>
      <c r="D33" s="19"/>
      <c r="E33" s="21" t="n">
        <v>-0.01</v>
      </c>
      <c r="F33" s="21" t="n">
        <v>0.01</v>
      </c>
      <c r="G33" s="21" t="n">
        <v>0.02</v>
      </c>
      <c r="H33" s="21" t="n">
        <v>0.03</v>
      </c>
      <c r="I33" s="21" t="n">
        <v>0.03</v>
      </c>
    </row>
    <row r="34" customFormat="false" ht="15" hidden="false" customHeight="false" outlineLevel="0" collapsed="false">
      <c r="A34" s="4" t="s">
        <v>60</v>
      </c>
      <c r="B34" s="19"/>
      <c r="C34" s="19"/>
      <c r="D34" s="19"/>
      <c r="E34" s="21" t="n">
        <v>-0.18</v>
      </c>
      <c r="F34" s="21" t="n">
        <v>-0.08</v>
      </c>
      <c r="G34" s="21" t="n">
        <v>-0.03</v>
      </c>
      <c r="H34" s="21" t="n">
        <v>0</v>
      </c>
      <c r="I34" s="21" t="n">
        <v>0</v>
      </c>
    </row>
    <row r="36" customFormat="false" ht="15" hidden="false" customHeight="false" outlineLevel="0" collapsed="false">
      <c r="A36" s="4" t="s">
        <v>64</v>
      </c>
      <c r="B36" s="22"/>
      <c r="C36" s="22"/>
      <c r="D36" s="22"/>
      <c r="E36" s="23" t="n">
        <v>51</v>
      </c>
      <c r="F36" s="23" t="n">
        <v>51</v>
      </c>
      <c r="G36" s="23" t="n">
        <v>51</v>
      </c>
      <c r="H36" s="23" t="n">
        <v>51</v>
      </c>
      <c r="I36" s="23" t="n">
        <v>51</v>
      </c>
    </row>
    <row r="38" customFormat="false" ht="15" hidden="false" customHeight="false" outlineLevel="0" collapsed="false">
      <c r="A38" s="17" t="s">
        <v>65</v>
      </c>
      <c r="B38" s="18"/>
      <c r="C38" s="18"/>
      <c r="D38" s="18"/>
      <c r="E38" s="18"/>
      <c r="F38" s="18"/>
      <c r="G38" s="18"/>
      <c r="H38" s="18"/>
      <c r="I38" s="18"/>
    </row>
    <row r="39" customFormat="false" ht="15" hidden="false" customHeight="false" outlineLevel="0" collapsed="false">
      <c r="A39" s="4" t="s">
        <v>66</v>
      </c>
      <c r="B39" s="19"/>
      <c r="C39" s="19"/>
      <c r="D39" s="19"/>
      <c r="E39" s="21" t="n">
        <v>0.43</v>
      </c>
      <c r="F39" s="21" t="n">
        <v>0.435</v>
      </c>
      <c r="G39" s="21" t="n">
        <v>0.44</v>
      </c>
      <c r="H39" s="21" t="n">
        <v>0.445</v>
      </c>
      <c r="I39" s="21" t="n">
        <v>0.445</v>
      </c>
    </row>
    <row r="40" customFormat="false" ht="15" hidden="false" customHeight="false" outlineLevel="0" collapsed="false">
      <c r="A40" s="4" t="s">
        <v>67</v>
      </c>
      <c r="B40" s="19"/>
      <c r="C40" s="19"/>
      <c r="D40" s="19"/>
      <c r="E40" s="21" t="n">
        <v>0.435</v>
      </c>
      <c r="F40" s="21" t="n">
        <v>0.445</v>
      </c>
      <c r="G40" s="21" t="n">
        <v>0.455</v>
      </c>
      <c r="H40" s="21" t="n">
        <v>0.46</v>
      </c>
      <c r="I40" s="21" t="n">
        <v>0.46</v>
      </c>
    </row>
    <row r="41" customFormat="false" ht="15" hidden="false" customHeight="false" outlineLevel="0" collapsed="false">
      <c r="A41" s="4" t="s">
        <v>68</v>
      </c>
      <c r="B41" s="19"/>
      <c r="C41" s="19"/>
      <c r="D41" s="19"/>
      <c r="E41" s="21" t="n">
        <v>0.425</v>
      </c>
      <c r="F41" s="21" t="n">
        <v>0.425</v>
      </c>
      <c r="G41" s="21" t="n">
        <v>0.428</v>
      </c>
      <c r="H41" s="21" t="n">
        <v>0.43</v>
      </c>
      <c r="I41" s="21" t="n">
        <v>0.43</v>
      </c>
    </row>
    <row r="42" customFormat="false" ht="15" hidden="false" customHeight="false" outlineLevel="0" collapsed="false">
      <c r="A42" s="3" t="s">
        <v>69</v>
      </c>
      <c r="B42" s="19"/>
      <c r="C42" s="19"/>
      <c r="D42" s="19"/>
      <c r="E42" s="24" t="n">
        <f aca="false">CHOOSE(Assumptions!$B$6,E39,E40,E41)</f>
        <v>0.43</v>
      </c>
      <c r="F42" s="24" t="n">
        <f aca="false">CHOOSE(Assumptions!$B$6,F39,F40,F41)</f>
        <v>0.435</v>
      </c>
      <c r="G42" s="24" t="n">
        <f aca="false">CHOOSE(Assumptions!$B$6,G39,G40,G41)</f>
        <v>0.44</v>
      </c>
      <c r="H42" s="24" t="n">
        <f aca="false">CHOOSE(Assumptions!$B$6,H39,H40,H41)</f>
        <v>0.445</v>
      </c>
      <c r="I42" s="24" t="n">
        <f aca="false">CHOOSE(Assumptions!$B$6,I39,I40,I41)</f>
        <v>0.445</v>
      </c>
    </row>
    <row r="43" customFormat="false" ht="15" hidden="false" customHeight="false" outlineLevel="0" collapsed="false">
      <c r="A43" s="4" t="s">
        <v>70</v>
      </c>
      <c r="B43" s="19"/>
      <c r="C43" s="19"/>
      <c r="D43" s="19"/>
      <c r="E43" s="25" t="n">
        <v>0.1</v>
      </c>
      <c r="F43" s="25" t="n">
        <v>0.098</v>
      </c>
      <c r="G43" s="25" t="n">
        <v>0.096</v>
      </c>
      <c r="H43" s="25" t="n">
        <v>0.095</v>
      </c>
      <c r="I43" s="25" t="n">
        <v>0.095</v>
      </c>
    </row>
    <row r="44" customFormat="false" ht="15" hidden="false" customHeight="false" outlineLevel="0" collapsed="false">
      <c r="A44" s="4" t="s">
        <v>71</v>
      </c>
      <c r="B44" s="19"/>
      <c r="C44" s="19"/>
      <c r="D44" s="19"/>
      <c r="E44" s="25" t="n">
        <v>0.243</v>
      </c>
      <c r="F44" s="25" t="n">
        <v>0.24</v>
      </c>
      <c r="G44" s="25" t="n">
        <v>0.237</v>
      </c>
      <c r="H44" s="25" t="n">
        <v>0.235</v>
      </c>
      <c r="I44" s="25" t="n">
        <v>0.233</v>
      </c>
    </row>
    <row r="45" customFormat="false" ht="15" hidden="false" customHeight="false" outlineLevel="0" collapsed="false">
      <c r="A45" s="4" t="s">
        <v>72</v>
      </c>
      <c r="B45" s="19"/>
      <c r="C45" s="19"/>
      <c r="D45" s="19"/>
      <c r="E45" s="21" t="n">
        <v>0.016</v>
      </c>
      <c r="F45" s="21" t="n">
        <v>0.016</v>
      </c>
      <c r="G45" s="21" t="n">
        <v>0.016</v>
      </c>
      <c r="H45" s="21" t="n">
        <v>0.016</v>
      </c>
      <c r="I45" s="21" t="n">
        <v>0.016</v>
      </c>
    </row>
    <row r="46" customFormat="false" ht="15" hidden="false" customHeight="false" outlineLevel="0" collapsed="false">
      <c r="A46" s="4" t="s">
        <v>73</v>
      </c>
      <c r="B46" s="19"/>
      <c r="C46" s="19"/>
      <c r="D46" s="19"/>
      <c r="E46" s="21" t="n">
        <v>0.015</v>
      </c>
      <c r="F46" s="21" t="n">
        <v>0.015</v>
      </c>
      <c r="G46" s="21" t="n">
        <v>0.015</v>
      </c>
      <c r="H46" s="21" t="n">
        <v>0.015</v>
      </c>
      <c r="I46" s="21" t="n">
        <v>0.015</v>
      </c>
    </row>
    <row r="47" customFormat="false" ht="15" hidden="false" customHeight="false" outlineLevel="0" collapsed="false">
      <c r="A47" s="4" t="s">
        <v>74</v>
      </c>
      <c r="B47" s="19"/>
      <c r="C47" s="19"/>
      <c r="D47" s="19"/>
      <c r="E47" s="21" t="n">
        <v>0.016</v>
      </c>
      <c r="F47" s="21" t="n">
        <v>0.016</v>
      </c>
      <c r="G47" s="21" t="n">
        <v>0.016</v>
      </c>
      <c r="H47" s="21" t="n">
        <v>0.016</v>
      </c>
      <c r="I47" s="21" t="n">
        <v>0.016</v>
      </c>
    </row>
    <row r="49" customFormat="false" ht="15" hidden="false" customHeight="false" outlineLevel="0" collapsed="false">
      <c r="A49" s="17" t="s">
        <v>75</v>
      </c>
      <c r="B49" s="18"/>
      <c r="C49" s="18"/>
      <c r="D49" s="18"/>
      <c r="E49" s="18"/>
      <c r="F49" s="18"/>
      <c r="G49" s="18"/>
      <c r="H49" s="18"/>
      <c r="I49" s="18"/>
    </row>
    <row r="50" customFormat="false" ht="15" hidden="false" customHeight="false" outlineLevel="0" collapsed="false">
      <c r="A50" s="4" t="s">
        <v>76</v>
      </c>
      <c r="B50" s="19"/>
      <c r="C50" s="19"/>
      <c r="D50" s="19"/>
      <c r="E50" s="21" t="n">
        <v>0.19</v>
      </c>
      <c r="F50" s="21" t="n">
        <v>0.19</v>
      </c>
      <c r="G50" s="21" t="n">
        <v>0.19</v>
      </c>
      <c r="H50" s="21" t="n">
        <v>0.19</v>
      </c>
      <c r="I50" s="21" t="n">
        <v>0.19</v>
      </c>
    </row>
    <row r="51" customFormat="false" ht="15" hidden="false" customHeight="false" outlineLevel="0" collapsed="false">
      <c r="A51" s="4" t="s">
        <v>77</v>
      </c>
      <c r="B51" s="19"/>
      <c r="C51" s="19"/>
      <c r="D51" s="19"/>
      <c r="E51" s="21" t="n">
        <v>0.04</v>
      </c>
      <c r="F51" s="21" t="n">
        <v>0.04</v>
      </c>
      <c r="G51" s="21" t="n">
        <v>0.04</v>
      </c>
      <c r="H51" s="21" t="n">
        <v>0.04</v>
      </c>
      <c r="I51" s="21" t="n">
        <v>0.04</v>
      </c>
    </row>
    <row r="52" customFormat="false" ht="15" hidden="false" customHeight="false" outlineLevel="0" collapsed="false">
      <c r="A52" s="4" t="s">
        <v>78</v>
      </c>
      <c r="B52" s="19"/>
      <c r="C52" s="19"/>
      <c r="D52" s="19"/>
      <c r="E52" s="21" t="n">
        <v>0.035</v>
      </c>
      <c r="F52" s="21" t="n">
        <v>0.035</v>
      </c>
      <c r="G52" s="21" t="n">
        <v>0.035</v>
      </c>
      <c r="H52" s="21" t="n">
        <v>0.035</v>
      </c>
      <c r="I52" s="21" t="n">
        <v>0.035</v>
      </c>
    </row>
    <row r="54" customFormat="false" ht="15" hidden="false" customHeight="false" outlineLevel="0" collapsed="false">
      <c r="A54" s="17" t="s">
        <v>79</v>
      </c>
      <c r="B54" s="18"/>
      <c r="C54" s="18"/>
      <c r="D54" s="18"/>
      <c r="E54" s="18"/>
      <c r="F54" s="18"/>
      <c r="G54" s="18"/>
      <c r="H54" s="18"/>
      <c r="I54" s="18"/>
    </row>
    <row r="55" customFormat="false" ht="15" hidden="false" customHeight="false" outlineLevel="0" collapsed="false">
      <c r="A55" s="4" t="s">
        <v>80</v>
      </c>
      <c r="B55" s="26"/>
      <c r="C55" s="26"/>
      <c r="D55" s="26"/>
      <c r="E55" s="27" t="n">
        <v>44</v>
      </c>
      <c r="F55" s="27" t="n">
        <v>42</v>
      </c>
      <c r="G55" s="27" t="n">
        <v>40</v>
      </c>
      <c r="H55" s="27" t="n">
        <v>40</v>
      </c>
      <c r="I55" s="27" t="n">
        <v>40</v>
      </c>
    </row>
    <row r="56" customFormat="false" ht="15" hidden="false" customHeight="false" outlineLevel="0" collapsed="false">
      <c r="A56" s="4" t="s">
        <v>81</v>
      </c>
      <c r="B56" s="26"/>
      <c r="C56" s="26"/>
      <c r="D56" s="26"/>
      <c r="E56" s="27" t="n">
        <v>100</v>
      </c>
      <c r="F56" s="27" t="n">
        <v>98</v>
      </c>
      <c r="G56" s="27" t="n">
        <v>96</v>
      </c>
      <c r="H56" s="27" t="n">
        <v>95</v>
      </c>
      <c r="I56" s="27" t="n">
        <v>95</v>
      </c>
    </row>
    <row r="57" customFormat="false" ht="15" hidden="false" customHeight="false" outlineLevel="0" collapsed="false">
      <c r="A57" s="4" t="s">
        <v>82</v>
      </c>
      <c r="B57" s="26"/>
      <c r="C57" s="26"/>
      <c r="D57" s="26"/>
      <c r="E57" s="27" t="n">
        <v>50</v>
      </c>
      <c r="F57" s="27" t="n">
        <v>50</v>
      </c>
      <c r="G57" s="27" t="n">
        <v>50</v>
      </c>
      <c r="H57" s="27" t="n">
        <v>50</v>
      </c>
      <c r="I57" s="27" t="n">
        <v>50</v>
      </c>
    </row>
    <row r="58" customFormat="false" ht="15" hidden="false" customHeight="false" outlineLevel="0" collapsed="false">
      <c r="A58" s="4" t="s">
        <v>83</v>
      </c>
      <c r="B58" s="19"/>
      <c r="C58" s="19"/>
      <c r="D58" s="19"/>
      <c r="E58" s="21" t="n">
        <v>0.046</v>
      </c>
      <c r="F58" s="21" t="n">
        <v>0.046</v>
      </c>
      <c r="G58" s="21" t="n">
        <v>0.046</v>
      </c>
      <c r="H58" s="21" t="n">
        <v>0.046</v>
      </c>
      <c r="I58" s="21" t="n">
        <v>0.046</v>
      </c>
    </row>
    <row r="59" customFormat="false" ht="15" hidden="false" customHeight="false" outlineLevel="0" collapsed="false">
      <c r="A59" s="4" t="s">
        <v>84</v>
      </c>
      <c r="B59" s="19"/>
      <c r="C59" s="19"/>
      <c r="D59" s="19"/>
      <c r="E59" s="21" t="n">
        <v>0.131</v>
      </c>
      <c r="F59" s="21" t="n">
        <v>0.131</v>
      </c>
      <c r="G59" s="21" t="n">
        <v>0.131</v>
      </c>
      <c r="H59" s="21" t="n">
        <v>0.131</v>
      </c>
      <c r="I59" s="21" t="n">
        <v>0.131</v>
      </c>
    </row>
    <row r="61" customFormat="false" ht="15" hidden="false" customHeight="false" outlineLevel="0" collapsed="false">
      <c r="A61" s="17" t="s">
        <v>85</v>
      </c>
      <c r="B61" s="18"/>
      <c r="C61" s="18"/>
      <c r="D61" s="18"/>
      <c r="E61" s="18"/>
      <c r="F61" s="18"/>
      <c r="G61" s="18"/>
      <c r="H61" s="18"/>
      <c r="I61" s="18"/>
    </row>
    <row r="62" customFormat="false" ht="15" hidden="false" customHeight="false" outlineLevel="0" collapsed="false">
      <c r="A62" s="4" t="s">
        <v>86</v>
      </c>
      <c r="B62" s="22"/>
      <c r="C62" s="22"/>
      <c r="D62" s="22"/>
      <c r="E62" s="23" t="n">
        <v>2000</v>
      </c>
      <c r="F62" s="23" t="n">
        <v>0</v>
      </c>
      <c r="G62" s="23" t="n">
        <v>0</v>
      </c>
      <c r="H62" s="23" t="n">
        <v>0</v>
      </c>
      <c r="I62" s="23" t="n">
        <v>0</v>
      </c>
    </row>
    <row r="63" customFormat="false" ht="15" hidden="false" customHeight="false" outlineLevel="0" collapsed="false">
      <c r="A63" s="4" t="s">
        <v>87</v>
      </c>
      <c r="B63" s="19"/>
      <c r="C63" s="19"/>
      <c r="D63" s="19"/>
      <c r="E63" s="21" t="n">
        <v>0.05</v>
      </c>
      <c r="F63" s="21" t="n">
        <v>0.05</v>
      </c>
      <c r="G63" s="21" t="n">
        <v>0.05</v>
      </c>
      <c r="H63" s="21" t="n">
        <v>0.05</v>
      </c>
      <c r="I63" s="21" t="n">
        <v>0.05</v>
      </c>
    </row>
    <row r="64" customFormat="false" ht="15" hidden="false" customHeight="false" outlineLevel="0" collapsed="false">
      <c r="A64" s="4" t="s">
        <v>88</v>
      </c>
      <c r="B64" s="22"/>
      <c r="C64" s="22"/>
      <c r="D64" s="22"/>
      <c r="E64" s="23" t="n">
        <v>1000</v>
      </c>
      <c r="F64" s="23" t="n">
        <v>2000</v>
      </c>
      <c r="G64" s="23" t="n">
        <v>2500</v>
      </c>
      <c r="H64" s="23" t="n">
        <v>3000</v>
      </c>
      <c r="I64" s="23" t="n">
        <v>3500</v>
      </c>
    </row>
    <row r="65" customFormat="false" ht="15" hidden="false" customHeight="false" outlineLevel="0" collapsed="false">
      <c r="A65" s="4" t="s">
        <v>89</v>
      </c>
      <c r="B65" s="28"/>
      <c r="C65" s="28"/>
      <c r="D65" s="28"/>
      <c r="E65" s="29" t="n">
        <v>75</v>
      </c>
      <c r="F65" s="29" t="n">
        <v>75</v>
      </c>
      <c r="G65" s="29" t="n">
        <v>75</v>
      </c>
      <c r="H65" s="29" t="n">
        <v>75</v>
      </c>
      <c r="I65" s="29" t="n">
        <v>75</v>
      </c>
    </row>
    <row r="66" customFormat="false" ht="15" hidden="false" customHeight="false" outlineLevel="0" collapsed="false">
      <c r="A66" s="4" t="s">
        <v>90</v>
      </c>
      <c r="B66" s="30"/>
      <c r="C66" s="30"/>
      <c r="D66" s="30"/>
      <c r="E66" s="31" t="n">
        <v>8</v>
      </c>
      <c r="F66" s="31" t="n">
        <v>8</v>
      </c>
      <c r="G66" s="31" t="n">
        <v>8</v>
      </c>
      <c r="H66" s="31" t="n">
        <v>8</v>
      </c>
      <c r="I66" s="31" t="n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6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</row>
    <row r="5" customFormat="false" ht="15" hidden="false" customHeight="false" outlineLevel="0" collapsed="false">
      <c r="A5" s="17" t="s">
        <v>93</v>
      </c>
      <c r="B5" s="18"/>
      <c r="C5" s="18"/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A6" s="4" t="s">
        <v>56</v>
      </c>
      <c r="B6" s="22"/>
      <c r="C6" s="32" t="n">
        <v>19572</v>
      </c>
      <c r="D6" s="32" t="n">
        <v>20511</v>
      </c>
      <c r="E6" s="33" t="n">
        <f aca="false">D6*(1+Assumptions!E9)</f>
        <v>21331.44</v>
      </c>
      <c r="F6" s="33" t="n">
        <f aca="false">E6*(1+Assumptions!F9)</f>
        <v>22398.012</v>
      </c>
      <c r="G6" s="33" t="n">
        <f aca="false">F6*(1+Assumptions!G9)</f>
        <v>23517.9126</v>
      </c>
      <c r="H6" s="33" t="n">
        <f aca="false">G6*(1+Assumptions!H9)</f>
        <v>24458.629104</v>
      </c>
      <c r="I6" s="33" t="n">
        <f aca="false">H6*(1+Assumptions!I9)</f>
        <v>25436.97426816</v>
      </c>
    </row>
    <row r="7" customFormat="false" ht="15" hidden="false" customHeight="false" outlineLevel="0" collapsed="false">
      <c r="A7" s="4" t="s">
        <v>57</v>
      </c>
      <c r="B7" s="22"/>
      <c r="C7" s="32" t="n">
        <v>12257</v>
      </c>
      <c r="D7" s="32" t="n">
        <v>12572</v>
      </c>
      <c r="E7" s="33" t="n">
        <f aca="false">D7*(1+Assumptions!E10)</f>
        <v>12823.44</v>
      </c>
      <c r="F7" s="33" t="n">
        <f aca="false">E7*(1+Assumptions!F10)</f>
        <v>13208.1432</v>
      </c>
      <c r="G7" s="33" t="n">
        <f aca="false">F7*(1+Assumptions!G10)</f>
        <v>13736.468928</v>
      </c>
      <c r="H7" s="33" t="n">
        <f aca="false">G7*(1+Assumptions!H10)</f>
        <v>14285.92768512</v>
      </c>
      <c r="I7" s="33" t="n">
        <f aca="false">H7*(1+Assumptions!I10)</f>
        <v>14714.5055156736</v>
      </c>
    </row>
    <row r="8" customFormat="false" ht="15" hidden="false" customHeight="false" outlineLevel="0" collapsed="false">
      <c r="A8" s="4" t="s">
        <v>58</v>
      </c>
      <c r="B8" s="22"/>
      <c r="C8" s="32" t="n">
        <v>6586</v>
      </c>
      <c r="D8" s="32" t="n">
        <v>5847</v>
      </c>
      <c r="E8" s="33" t="n">
        <f aca="false">D8*(1+Assumptions!E11)</f>
        <v>5554.65</v>
      </c>
      <c r="F8" s="33" t="n">
        <f aca="false">E8*(1+Assumptions!F11)</f>
        <v>5554.65</v>
      </c>
      <c r="G8" s="33" t="n">
        <f aca="false">F8*(1+Assumptions!G11)</f>
        <v>5721.2895</v>
      </c>
      <c r="H8" s="33" t="n">
        <f aca="false">G8*(1+Assumptions!H11)</f>
        <v>5950.14108</v>
      </c>
      <c r="I8" s="33" t="n">
        <f aca="false">H8*(1+Assumptions!I11)</f>
        <v>6188.1467232</v>
      </c>
    </row>
    <row r="9" customFormat="false" ht="15" hidden="false" customHeight="false" outlineLevel="0" collapsed="false">
      <c r="A9" s="4" t="s">
        <v>59</v>
      </c>
      <c r="B9" s="22"/>
      <c r="C9" s="32" t="n">
        <v>6251</v>
      </c>
      <c r="D9" s="32" t="n">
        <v>6243</v>
      </c>
      <c r="E9" s="33" t="n">
        <f aca="false">D9*(1+Assumptions!E12)</f>
        <v>6367.86</v>
      </c>
      <c r="F9" s="33" t="n">
        <f aca="false">E9*(1+Assumptions!F12)</f>
        <v>6622.5744</v>
      </c>
      <c r="G9" s="33" t="n">
        <f aca="false">F9*(1+Assumptions!G12)</f>
        <v>6953.70312</v>
      </c>
      <c r="H9" s="33" t="n">
        <f aca="false">G9*(1+Assumptions!H12)</f>
        <v>7301.388276</v>
      </c>
      <c r="I9" s="33" t="n">
        <f aca="false">H9*(1+Assumptions!I12)</f>
        <v>7666.4576898</v>
      </c>
    </row>
    <row r="10" customFormat="false" ht="15" hidden="false" customHeight="false" outlineLevel="0" collapsed="false">
      <c r="A10" s="4" t="s">
        <v>60</v>
      </c>
      <c r="B10" s="22"/>
      <c r="C10" s="32" t="n">
        <v>1692</v>
      </c>
      <c r="D10" s="32" t="n">
        <v>1174</v>
      </c>
      <c r="E10" s="33" t="n">
        <f aca="false">D10*(1+Assumptions!E13)</f>
        <v>1056.6</v>
      </c>
      <c r="F10" s="33" t="n">
        <f aca="false">E10*(1+Assumptions!F13)</f>
        <v>1024.902</v>
      </c>
      <c r="G10" s="33" t="n">
        <f aca="false">F10*(1+Assumptions!G13)</f>
        <v>1045.40004</v>
      </c>
      <c r="H10" s="33" t="n">
        <f aca="false">G10*(1+Assumptions!H13)</f>
        <v>1066.3080408</v>
      </c>
      <c r="I10" s="33" t="n">
        <f aca="false">H10*(1+Assumptions!I13)</f>
        <v>1087.634201616</v>
      </c>
    </row>
    <row r="11" customFormat="false" ht="15" hidden="false" customHeight="false" outlineLevel="0" collapsed="false">
      <c r="A11" s="4" t="s">
        <v>94</v>
      </c>
      <c r="B11" s="22"/>
      <c r="C11" s="32" t="n">
        <v>-49</v>
      </c>
      <c r="D11" s="32" t="n">
        <v>51</v>
      </c>
      <c r="E11" s="10" t="n">
        <f aca="false">Assumptions!E36</f>
        <v>51</v>
      </c>
      <c r="F11" s="10" t="n">
        <f aca="false">Assumptions!F36</f>
        <v>51</v>
      </c>
      <c r="G11" s="10" t="n">
        <f aca="false">Assumptions!G36</f>
        <v>51</v>
      </c>
      <c r="H11" s="10" t="n">
        <f aca="false">Assumptions!H36</f>
        <v>51</v>
      </c>
      <c r="I11" s="10" t="n">
        <f aca="false">Assumptions!I36</f>
        <v>51</v>
      </c>
    </row>
    <row r="12" customFormat="false" ht="15" hidden="false" customHeight="false" outlineLevel="0" collapsed="false">
      <c r="A12" s="3" t="s">
        <v>95</v>
      </c>
      <c r="B12" s="34" t="n">
        <v>51362</v>
      </c>
      <c r="C12" s="35" t="n">
        <f aca="false">SUM(C6:C11)</f>
        <v>46309</v>
      </c>
      <c r="D12" s="35" t="n">
        <f aca="false">SUM(D6:D11)</f>
        <v>46398</v>
      </c>
      <c r="E12" s="36" t="n">
        <f aca="false">SUM(E6:E11)</f>
        <v>47184.99</v>
      </c>
      <c r="F12" s="36" t="n">
        <f aca="false">SUM(F6:F11)</f>
        <v>48859.2816</v>
      </c>
      <c r="G12" s="36" t="n">
        <f aca="false">SUM(G6:G11)</f>
        <v>51025.774188</v>
      </c>
      <c r="H12" s="36" t="n">
        <f aca="false">SUM(H6:H11)</f>
        <v>53113.39418592</v>
      </c>
      <c r="I12" s="36" t="n">
        <f aca="false">SUM(I6:I11)</f>
        <v>55144.7183984496</v>
      </c>
    </row>
    <row r="14" customFormat="false" ht="15" hidden="false" customHeight="false" outlineLevel="0" collapsed="false">
      <c r="A14" s="17" t="s">
        <v>96</v>
      </c>
      <c r="B14" s="18"/>
      <c r="C14" s="18"/>
      <c r="D14" s="18"/>
      <c r="E14" s="18"/>
      <c r="F14" s="18"/>
      <c r="G14" s="18"/>
      <c r="H14" s="18"/>
      <c r="I14" s="18"/>
    </row>
    <row r="15" customFormat="false" ht="15" hidden="false" customHeight="false" outlineLevel="0" collapsed="false">
      <c r="A15" s="4" t="s">
        <v>56</v>
      </c>
      <c r="B15" s="19"/>
      <c r="C15" s="19"/>
      <c r="D15" s="19" t="n">
        <f aca="false">D6/C6-1</f>
        <v>0.0479767014101777</v>
      </c>
      <c r="E15" s="37" t="n">
        <f aca="false">E6/D6-1</f>
        <v>0.04</v>
      </c>
      <c r="F15" s="37" t="n">
        <f aca="false">F6/E6-1</f>
        <v>0.05</v>
      </c>
      <c r="G15" s="37" t="n">
        <f aca="false">G6/F6-1</f>
        <v>0.05</v>
      </c>
      <c r="H15" s="37" t="n">
        <f aca="false">H6/G6-1</f>
        <v>0.04</v>
      </c>
      <c r="I15" s="37" t="n">
        <f aca="false">I6/H6-1</f>
        <v>0.04</v>
      </c>
    </row>
    <row r="16" customFormat="false" ht="15" hidden="false" customHeight="false" outlineLevel="0" collapsed="false">
      <c r="A16" s="4" t="s">
        <v>57</v>
      </c>
      <c r="B16" s="19"/>
      <c r="C16" s="19"/>
      <c r="D16" s="19" t="n">
        <f aca="false">D7/C7-1</f>
        <v>0.0256996002284409</v>
      </c>
      <c r="E16" s="37" t="n">
        <f aca="false">E7/D7-1</f>
        <v>0.02</v>
      </c>
      <c r="F16" s="37" t="n">
        <f aca="false">F7/E7-1</f>
        <v>0.03</v>
      </c>
      <c r="G16" s="37" t="n">
        <f aca="false">G7/F7-1</f>
        <v>0.04</v>
      </c>
      <c r="H16" s="37" t="n">
        <f aca="false">H7/G7-1</f>
        <v>0.04</v>
      </c>
      <c r="I16" s="37" t="n">
        <f aca="false">I7/H7-1</f>
        <v>0.03</v>
      </c>
    </row>
    <row r="17" customFormat="false" ht="15" hidden="false" customHeight="false" outlineLevel="0" collapsed="false">
      <c r="A17" s="4" t="s">
        <v>58</v>
      </c>
      <c r="B17" s="19"/>
      <c r="C17" s="19"/>
      <c r="D17" s="19" t="n">
        <f aca="false">D8/C8-1</f>
        <v>-0.112207713331309</v>
      </c>
      <c r="E17" s="37" t="n">
        <f aca="false">E8/D8-1</f>
        <v>-0.05</v>
      </c>
      <c r="F17" s="37" t="n">
        <f aca="false">F8/E8-1</f>
        <v>0</v>
      </c>
      <c r="G17" s="37" t="n">
        <f aca="false">G8/F8-1</f>
        <v>0.03</v>
      </c>
      <c r="H17" s="37" t="n">
        <f aca="false">H8/G8-1</f>
        <v>0.04</v>
      </c>
      <c r="I17" s="37" t="n">
        <f aca="false">I8/H8-1</f>
        <v>0.04</v>
      </c>
    </row>
    <row r="18" customFormat="false" ht="15" hidden="false" customHeight="false" outlineLevel="0" collapsed="false">
      <c r="A18" s="4" t="s">
        <v>59</v>
      </c>
      <c r="B18" s="19"/>
      <c r="C18" s="19"/>
      <c r="D18" s="19" t="n">
        <f aca="false">D9/C9-1</f>
        <v>-0.00127979523276278</v>
      </c>
      <c r="E18" s="37" t="n">
        <f aca="false">E9/D9-1</f>
        <v>0.02</v>
      </c>
      <c r="F18" s="37" t="n">
        <f aca="false">F9/E9-1</f>
        <v>0.04</v>
      </c>
      <c r="G18" s="37" t="n">
        <f aca="false">G9/F9-1</f>
        <v>0.05</v>
      </c>
      <c r="H18" s="37" t="n">
        <f aca="false">H9/G9-1</f>
        <v>0.05</v>
      </c>
      <c r="I18" s="37" t="n">
        <f aca="false">I9/H9-1</f>
        <v>0.05</v>
      </c>
    </row>
    <row r="19" customFormat="false" ht="15" hidden="false" customHeight="false" outlineLevel="0" collapsed="false">
      <c r="A19" s="4" t="s">
        <v>60</v>
      </c>
      <c r="B19" s="19"/>
      <c r="C19" s="19"/>
      <c r="D19" s="19" t="n">
        <f aca="false">D10/C10-1</f>
        <v>-0.306146572104019</v>
      </c>
      <c r="E19" s="37" t="n">
        <f aca="false">E10/D10-1</f>
        <v>-0.0999999999999999</v>
      </c>
      <c r="F19" s="37" t="n">
        <f aca="false">F10/E10-1</f>
        <v>-0.0300000000000001</v>
      </c>
      <c r="G19" s="37" t="n">
        <f aca="false">G10/F10-1</f>
        <v>0.02</v>
      </c>
      <c r="H19" s="37" t="n">
        <f aca="false">H10/G10-1</f>
        <v>0.02</v>
      </c>
      <c r="I19" s="37" t="n">
        <f aca="false">I10/H10-1</f>
        <v>0.02</v>
      </c>
    </row>
    <row r="20" customFormat="false" ht="15" hidden="false" customHeight="false" outlineLevel="0" collapsed="false">
      <c r="A20" s="3" t="s">
        <v>97</v>
      </c>
      <c r="B20" s="38"/>
      <c r="C20" s="38" t="n">
        <f aca="false">C12/B12-1</f>
        <v>-0.0983801253845256</v>
      </c>
      <c r="D20" s="38" t="n">
        <f aca="false">D12/C12-1</f>
        <v>0.00192187263814803</v>
      </c>
      <c r="E20" s="20" t="n">
        <f aca="false">E12/D12-1</f>
        <v>0.0169617224880383</v>
      </c>
      <c r="F20" s="20" t="n">
        <f aca="false">F12/E12-1</f>
        <v>0.0354835637349928</v>
      </c>
      <c r="G20" s="20" t="n">
        <f aca="false">G12/F12-1</f>
        <v>0.0443414744763664</v>
      </c>
      <c r="H20" s="20" t="n">
        <f aca="false">H12/G12-1</f>
        <v>0.0409130489667506</v>
      </c>
      <c r="I20" s="20" t="n">
        <f aca="false">I12/H12-1</f>
        <v>0.0382450461632913</v>
      </c>
    </row>
    <row r="22" customFormat="false" ht="15" hidden="false" customHeight="false" outlineLevel="0" collapsed="false">
      <c r="A22" s="17" t="s">
        <v>98</v>
      </c>
      <c r="B22" s="18"/>
      <c r="C22" s="18"/>
      <c r="D22" s="18"/>
      <c r="E22" s="18"/>
      <c r="F22" s="18"/>
      <c r="G22" s="18"/>
      <c r="H22" s="18"/>
      <c r="I22" s="18"/>
    </row>
    <row r="23" customFormat="false" ht="15" hidden="false" customHeight="false" outlineLevel="0" collapsed="false">
      <c r="A23" s="4" t="s">
        <v>56</v>
      </c>
      <c r="B23" s="19"/>
      <c r="C23" s="19" t="n">
        <f aca="false">C6/C12</f>
        <v>0.422639227795893</v>
      </c>
      <c r="D23" s="19" t="n">
        <f aca="false">D6/D12</f>
        <v>0.442066468382258</v>
      </c>
      <c r="E23" s="37" t="n">
        <f aca="false">E6/E12</f>
        <v>0.452081053741879</v>
      </c>
      <c r="F23" s="37" t="n">
        <f aca="false">F6/F12</f>
        <v>0.458418774622343</v>
      </c>
      <c r="G23" s="37" t="n">
        <f aca="false">G6/G12</f>
        <v>0.460902611949606</v>
      </c>
      <c r="H23" s="37" t="n">
        <f aca="false">H6/H12</f>
        <v>0.46049832587208</v>
      </c>
      <c r="I23" s="37" t="n">
        <f aca="false">I6/I12</f>
        <v>0.461276709844894</v>
      </c>
    </row>
    <row r="24" customFormat="false" ht="15" hidden="false" customHeight="false" outlineLevel="0" collapsed="false">
      <c r="A24" s="4" t="s">
        <v>57</v>
      </c>
      <c r="B24" s="19"/>
      <c r="C24" s="19" t="n">
        <f aca="false">C7/C12</f>
        <v>0.264678572199788</v>
      </c>
      <c r="D24" s="19" t="n">
        <f aca="false">D7/D12</f>
        <v>0.270959955170482</v>
      </c>
      <c r="E24" s="37" t="n">
        <f aca="false">E7/E12</f>
        <v>0.271769475843907</v>
      </c>
      <c r="F24" s="37" t="n">
        <f aca="false">F7/F12</f>
        <v>0.270330278454197</v>
      </c>
      <c r="G24" s="37" t="n">
        <f aca="false">G7/G12</f>
        <v>0.269206477443913</v>
      </c>
      <c r="H24" s="37" t="n">
        <f aca="false">H7/H12</f>
        <v>0.268970339856516</v>
      </c>
      <c r="I24" s="37" t="n">
        <f aca="false">I7/I12</f>
        <v>0.266834357723138</v>
      </c>
    </row>
    <row r="25" customFormat="false" ht="15" hidden="false" customHeight="false" outlineLevel="0" collapsed="false">
      <c r="A25" s="4" t="s">
        <v>58</v>
      </c>
      <c r="B25" s="19"/>
      <c r="C25" s="19" t="n">
        <f aca="false">C8/C12</f>
        <v>0.142218575222959</v>
      </c>
      <c r="D25" s="19" t="n">
        <f aca="false">D8/D12</f>
        <v>0.126018362860468</v>
      </c>
      <c r="E25" s="37" t="n">
        <f aca="false">E8/E12</f>
        <v>0.117720698891745</v>
      </c>
      <c r="F25" s="37" t="n">
        <f aca="false">F8/F12</f>
        <v>0.11368668998195</v>
      </c>
      <c r="G25" s="37" t="n">
        <f aca="false">G8/G12</f>
        <v>0.1121254815051</v>
      </c>
      <c r="H25" s="37" t="n">
        <f aca="false">H8/H12</f>
        <v>0.112027129337129</v>
      </c>
      <c r="I25" s="37" t="n">
        <f aca="false">I8/I12</f>
        <v>0.112216489682428</v>
      </c>
    </row>
    <row r="26" customFormat="false" ht="15" hidden="false" customHeight="false" outlineLevel="0" collapsed="false">
      <c r="A26" s="4" t="s">
        <v>59</v>
      </c>
      <c r="B26" s="19"/>
      <c r="C26" s="19" t="n">
        <f aca="false">C9/C12</f>
        <v>0.134984560236671</v>
      </c>
      <c r="D26" s="19" t="n">
        <f aca="false">D9/D12</f>
        <v>0.134553213500582</v>
      </c>
      <c r="E26" s="37" t="n">
        <f aca="false">E9/E12</f>
        <v>0.134955205034482</v>
      </c>
      <c r="F26" s="37" t="n">
        <f aca="false">F9/F12</f>
        <v>0.13554383493023</v>
      </c>
      <c r="G26" s="37" t="n">
        <f aca="false">G9/G12</f>
        <v>0.136278248211966</v>
      </c>
      <c r="H26" s="37" t="n">
        <f aca="false">H9/H12</f>
        <v>0.137467928531209</v>
      </c>
      <c r="I26" s="37" t="n">
        <f aca="false">I9/I12</f>
        <v>0.13902433292715</v>
      </c>
    </row>
    <row r="27" customFormat="false" ht="15" hidden="false" customHeight="false" outlineLevel="0" collapsed="false">
      <c r="A27" s="4" t="s">
        <v>60</v>
      </c>
      <c r="B27" s="19"/>
      <c r="C27" s="19" t="n">
        <f aca="false">C10/C12</f>
        <v>0.0365371741993997</v>
      </c>
      <c r="D27" s="19" t="n">
        <f aca="false">D10/D12</f>
        <v>0.025302814776499</v>
      </c>
      <c r="E27" s="37" t="n">
        <f aca="false">E10/E12</f>
        <v>0.022392714293253</v>
      </c>
      <c r="F27" s="37" t="n">
        <f aca="false">F10/F12</f>
        <v>0.0209766080555716</v>
      </c>
      <c r="G27" s="37" t="n">
        <f aca="false">G10/G12</f>
        <v>0.0204876860103742</v>
      </c>
      <c r="H27" s="37" t="n">
        <f aca="false">H10/H12</f>
        <v>0.0200760666333516</v>
      </c>
      <c r="I27" s="37" t="n">
        <f aca="false">I10/I12</f>
        <v>0.0197232705724829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6" t="s">
        <v>99</v>
      </c>
    </row>
    <row r="2" customFormat="false" ht="15" hidden="false" customHeight="false" outlineLevel="0" collapsed="false">
      <c r="A2" s="2" t="s">
        <v>100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</row>
    <row r="5" customFormat="false" ht="15" hidden="false" customHeight="false" outlineLevel="0" collapsed="false">
      <c r="A5" s="4" t="s">
        <v>101</v>
      </c>
      <c r="B5" s="32" t="n">
        <v>51362</v>
      </c>
      <c r="C5" s="32" t="n">
        <v>46309</v>
      </c>
      <c r="D5" s="32" t="n">
        <v>46398</v>
      </c>
      <c r="E5" s="10" t="n">
        <f aca="false">'Revenue Build'!E12</f>
        <v>47184.99</v>
      </c>
      <c r="F5" s="10" t="n">
        <f aca="false">'Revenue Build'!F12</f>
        <v>48859.2816</v>
      </c>
      <c r="G5" s="10" t="n">
        <f aca="false">'Revenue Build'!G12</f>
        <v>51025.774188</v>
      </c>
      <c r="H5" s="10" t="n">
        <f aca="false">'Revenue Build'!H12</f>
        <v>53113.39418592</v>
      </c>
      <c r="I5" s="10" t="n">
        <f aca="false">'Revenue Build'!I12</f>
        <v>55144.7183984496</v>
      </c>
    </row>
    <row r="6" customFormat="false" ht="15" hidden="false" customHeight="false" outlineLevel="0" collapsed="false">
      <c r="A6" s="4" t="s">
        <v>102</v>
      </c>
      <c r="B6" s="32" t="n">
        <v>28475</v>
      </c>
      <c r="C6" s="32" t="n">
        <v>26519</v>
      </c>
      <c r="D6" s="32" t="n">
        <v>26487</v>
      </c>
      <c r="E6" s="10" t="n">
        <f aca="false">E5*(1-Assumptions!E42)</f>
        <v>26895.4443</v>
      </c>
      <c r="F6" s="10" t="n">
        <f aca="false">F5*(1-Assumptions!F42)</f>
        <v>27605.494104</v>
      </c>
      <c r="G6" s="10" t="n">
        <f aca="false">G5*(1-Assumptions!G42)</f>
        <v>28574.43354528</v>
      </c>
      <c r="H6" s="10" t="n">
        <f aca="false">H5*(1-Assumptions!H42)</f>
        <v>29477.9337731856</v>
      </c>
      <c r="I6" s="10" t="n">
        <f aca="false">I5*(1-Assumptions!I42)</f>
        <v>30605.3187111395</v>
      </c>
    </row>
    <row r="7" customFormat="false" ht="15" hidden="false" customHeight="false" outlineLevel="0" collapsed="false">
      <c r="A7" s="3" t="s">
        <v>103</v>
      </c>
      <c r="B7" s="35" t="n">
        <f aca="false">B5-B6</f>
        <v>22887</v>
      </c>
      <c r="C7" s="35" t="n">
        <f aca="false">C5-C6</f>
        <v>19790</v>
      </c>
      <c r="D7" s="35" t="n">
        <f aca="false">D5-D6</f>
        <v>19911</v>
      </c>
      <c r="E7" s="36" t="n">
        <f aca="false">E5-E6</f>
        <v>20289.5457</v>
      </c>
      <c r="F7" s="36" t="n">
        <f aca="false">F5-F6</f>
        <v>21253.787496</v>
      </c>
      <c r="G7" s="36" t="n">
        <f aca="false">G5-G6</f>
        <v>22451.34064272</v>
      </c>
      <c r="H7" s="36" t="n">
        <f aca="false">H5-H6</f>
        <v>23635.4604127344</v>
      </c>
      <c r="I7" s="36" t="n">
        <f aca="false">I5-I6</f>
        <v>24539.3996873101</v>
      </c>
    </row>
    <row r="8" customFormat="false" ht="15" hidden="false" customHeight="false" outlineLevel="0" collapsed="false">
      <c r="A8" s="4" t="s">
        <v>104</v>
      </c>
      <c r="B8" s="32" t="n">
        <v>4285</v>
      </c>
      <c r="C8" s="32" t="n">
        <v>4689</v>
      </c>
      <c r="D8" s="32" t="n">
        <v>4754</v>
      </c>
      <c r="E8" s="10" t="n">
        <f aca="false">E5*Assumptions!E43</f>
        <v>4718.499</v>
      </c>
      <c r="F8" s="10" t="n">
        <f aca="false">F5*Assumptions!F43</f>
        <v>4788.2095968</v>
      </c>
      <c r="G8" s="10" t="n">
        <f aca="false">G5*Assumptions!G43</f>
        <v>4898.474322048</v>
      </c>
      <c r="H8" s="10" t="n">
        <f aca="false">H5*Assumptions!H43</f>
        <v>5045.7724476624</v>
      </c>
      <c r="I8" s="10" t="n">
        <f aca="false">I5*Assumptions!I43</f>
        <v>5238.74824785271</v>
      </c>
    </row>
    <row r="9" customFormat="false" ht="15" hidden="false" customHeight="false" outlineLevel="0" collapsed="false">
      <c r="A9" s="4" t="s">
        <v>105</v>
      </c>
      <c r="B9" s="32" t="n">
        <v>12291</v>
      </c>
      <c r="C9" s="32" t="n">
        <v>11399</v>
      </c>
      <c r="D9" s="32" t="n">
        <v>11360</v>
      </c>
      <c r="E9" s="10" t="n">
        <f aca="false">E5*Assumptions!E44</f>
        <v>11465.95257</v>
      </c>
      <c r="F9" s="10" t="n">
        <f aca="false">F5*Assumptions!F44</f>
        <v>11726.227584</v>
      </c>
      <c r="G9" s="10" t="n">
        <f aca="false">G5*Assumptions!G44</f>
        <v>12093.108482556</v>
      </c>
      <c r="H9" s="10" t="n">
        <f aca="false">H5*Assumptions!H44</f>
        <v>12481.6476336912</v>
      </c>
      <c r="I9" s="10" t="n">
        <f aca="false">I5*Assumptions!I44</f>
        <v>12848.7193868388</v>
      </c>
    </row>
    <row r="10" customFormat="false" ht="15" hidden="false" customHeight="false" outlineLevel="0" collapsed="false">
      <c r="A10" s="3" t="s">
        <v>44</v>
      </c>
      <c r="B10" s="35" t="n">
        <f aca="false">B7-B8-B9</f>
        <v>6311</v>
      </c>
      <c r="C10" s="35" t="n">
        <f aca="false">C7-C8-C9</f>
        <v>3702</v>
      </c>
      <c r="D10" s="35" t="n">
        <f aca="false">D7-D8-D9</f>
        <v>3797</v>
      </c>
      <c r="E10" s="36" t="n">
        <f aca="false">E7-E8-E9</f>
        <v>4105.09413</v>
      </c>
      <c r="F10" s="36" t="n">
        <f aca="false">F7-F8-F9</f>
        <v>4739.35031520001</v>
      </c>
      <c r="G10" s="36" t="n">
        <f aca="false">G7-G8-G9</f>
        <v>5459.757838116</v>
      </c>
      <c r="H10" s="36" t="n">
        <f aca="false">H7-H8-H9</f>
        <v>6108.04033138081</v>
      </c>
      <c r="I10" s="36" t="n">
        <f aca="false">I7-I8-I9</f>
        <v>6451.93205261861</v>
      </c>
    </row>
    <row r="11" customFormat="false" ht="15" hidden="false" customHeight="false" outlineLevel="0" collapsed="false">
      <c r="A11" s="4" t="s">
        <v>106</v>
      </c>
      <c r="B11" s="32" t="n">
        <v>-161</v>
      </c>
      <c r="C11" s="32" t="n">
        <v>-107</v>
      </c>
      <c r="D11" s="32" t="n">
        <v>-50</v>
      </c>
      <c r="E11" s="10" t="n">
        <f aca="false">Assumptions!E51*('Balance Sheet'!D19+'Balance Sheet'!D25)-Assumptions!E52*('Balance Sheet'!D6+'Balance Sheet'!D7)</f>
        <v>1.73499999999996</v>
      </c>
      <c r="F11" s="10" t="n">
        <f aca="false">Assumptions!F51*('Balance Sheet'!E19+'Balance Sheet'!E25)-Assumptions!F52*('Balance Sheet'!E6+'Balance Sheet'!E7)</f>
        <v>-44.5113600052251</v>
      </c>
      <c r="G11" s="10" t="n">
        <f aca="false">Assumptions!G51*('Balance Sheet'!F19+'Balance Sheet'!F25)-Assumptions!G52*('Balance Sheet'!F6+'Balance Sheet'!F7)</f>
        <v>-53.5870080775806</v>
      </c>
      <c r="H11" s="10" t="n">
        <f aca="false">Assumptions!H51*('Balance Sheet'!G19+'Balance Sheet'!G25)-Assumptions!H52*('Balance Sheet'!G6+'Balance Sheet'!G7)</f>
        <v>-63.4293630637411</v>
      </c>
      <c r="I11" s="10" t="n">
        <f aca="false">Assumptions!I51*('Balance Sheet'!H19+'Balance Sheet'!H25)-Assumptions!I52*('Balance Sheet'!H6+'Balance Sheet'!H7)</f>
        <v>-61.5430510000264</v>
      </c>
      <c r="J11" s="2" t="s">
        <v>107</v>
      </c>
    </row>
    <row r="12" customFormat="false" ht="15" hidden="false" customHeight="false" outlineLevel="0" collapsed="false">
      <c r="A12" s="4" t="s">
        <v>108</v>
      </c>
      <c r="B12" s="32" t="n">
        <v>-228</v>
      </c>
      <c r="C12" s="32" t="n">
        <v>-76</v>
      </c>
      <c r="D12" s="32" t="n">
        <v>-53</v>
      </c>
      <c r="E12" s="33" t="n">
        <v>0</v>
      </c>
      <c r="F12" s="33" t="n">
        <v>0</v>
      </c>
      <c r="G12" s="33" t="n">
        <v>0</v>
      </c>
      <c r="H12" s="33" t="n">
        <v>0</v>
      </c>
      <c r="I12" s="33" t="n">
        <v>0</v>
      </c>
      <c r="J12" s="2" t="s">
        <v>109</v>
      </c>
    </row>
    <row r="13" customFormat="false" ht="15" hidden="false" customHeight="false" outlineLevel="0" collapsed="false">
      <c r="A13" s="3" t="s">
        <v>110</v>
      </c>
      <c r="B13" s="35" t="n">
        <f aca="false">B10-B11-B12</f>
        <v>6700</v>
      </c>
      <c r="C13" s="35" t="n">
        <f aca="false">C10-C11-C12</f>
        <v>3885</v>
      </c>
      <c r="D13" s="35" t="n">
        <f aca="false">D10-D11-D12</f>
        <v>3900</v>
      </c>
      <c r="E13" s="36" t="n">
        <f aca="false">E10-E11-E12</f>
        <v>4103.35913</v>
      </c>
      <c r="F13" s="36" t="n">
        <f aca="false">F10-F11-F12</f>
        <v>4783.86167520523</v>
      </c>
      <c r="G13" s="36" t="n">
        <f aca="false">G10-G11-G12</f>
        <v>5513.34484619358</v>
      </c>
      <c r="H13" s="36" t="n">
        <f aca="false">H10-H11-H12</f>
        <v>6171.46969444455</v>
      </c>
      <c r="I13" s="36" t="n">
        <f aca="false">I10-I11-I12</f>
        <v>6513.47510361864</v>
      </c>
    </row>
    <row r="14" customFormat="false" ht="15" hidden="false" customHeight="false" outlineLevel="0" collapsed="false">
      <c r="A14" s="4" t="s">
        <v>111</v>
      </c>
      <c r="B14" s="32" t="n">
        <v>1000</v>
      </c>
      <c r="C14" s="32" t="n">
        <v>666</v>
      </c>
      <c r="D14" s="32" t="n">
        <v>792</v>
      </c>
      <c r="E14" s="10" t="n">
        <f aca="false">E13*Assumptions!E50</f>
        <v>779.6382347</v>
      </c>
      <c r="F14" s="10" t="n">
        <f aca="false">F13*Assumptions!F50</f>
        <v>908.933718288994</v>
      </c>
      <c r="G14" s="10" t="n">
        <f aca="false">G13*Assumptions!G50</f>
        <v>1047.53552077678</v>
      </c>
      <c r="H14" s="10" t="n">
        <f aca="false">H13*Assumptions!H50</f>
        <v>1172.57924194446</v>
      </c>
      <c r="I14" s="10" t="n">
        <f aca="false">I13*Assumptions!I50</f>
        <v>1237.56026968754</v>
      </c>
    </row>
    <row r="15" customFormat="false" ht="15" hidden="false" customHeight="false" outlineLevel="0" collapsed="false">
      <c r="A15" s="3" t="s">
        <v>46</v>
      </c>
      <c r="B15" s="39" t="n">
        <f aca="false">B13-B14</f>
        <v>5700</v>
      </c>
      <c r="C15" s="39" t="n">
        <f aca="false">C13-C14</f>
        <v>3219</v>
      </c>
      <c r="D15" s="39" t="n">
        <f aca="false">D13-D14</f>
        <v>3108</v>
      </c>
      <c r="E15" s="40" t="n">
        <f aca="false">E13-E14</f>
        <v>3323.7208953</v>
      </c>
      <c r="F15" s="40" t="n">
        <f aca="false">F13-F14</f>
        <v>3874.92795691624</v>
      </c>
      <c r="G15" s="40" t="n">
        <f aca="false">G13-G14</f>
        <v>4465.8093254168</v>
      </c>
      <c r="H15" s="40" t="n">
        <f aca="false">H13-H14</f>
        <v>4998.89045250008</v>
      </c>
      <c r="I15" s="40" t="n">
        <f aca="false">I13-I14</f>
        <v>5275.91483393109</v>
      </c>
    </row>
    <row r="17" customFormat="false" ht="15" hidden="false" customHeight="false" outlineLevel="0" collapsed="false">
      <c r="A17" s="4" t="s">
        <v>112</v>
      </c>
      <c r="B17" s="41" t="n">
        <v>1529.7</v>
      </c>
      <c r="C17" s="41" t="n">
        <v>1487.6</v>
      </c>
      <c r="D17" s="41" t="n">
        <v>1481</v>
      </c>
      <c r="E17" s="42" t="n">
        <f aca="false">D17-Assumptions!E64/Assumptions!E65+Assumptions!E66</f>
        <v>1475.66666666667</v>
      </c>
      <c r="F17" s="42" t="n">
        <f aca="false">E17-Assumptions!F64/Assumptions!F65+Assumptions!F66</f>
        <v>1457</v>
      </c>
      <c r="G17" s="42" t="n">
        <f aca="false">F17-Assumptions!G64/Assumptions!G65+Assumptions!G66</f>
        <v>1431.66666666667</v>
      </c>
      <c r="H17" s="42" t="n">
        <f aca="false">G17-Assumptions!H64/Assumptions!H65+Assumptions!H66</f>
        <v>1399.66666666667</v>
      </c>
      <c r="I17" s="42" t="n">
        <f aca="false">H17-Assumptions!I64/Assumptions!I65+Assumptions!I66</f>
        <v>1361</v>
      </c>
    </row>
    <row r="18" customFormat="false" ht="15" hidden="false" customHeight="false" outlineLevel="0" collapsed="false">
      <c r="A18" s="3" t="s">
        <v>47</v>
      </c>
      <c r="B18" s="43" t="n">
        <f aca="false">B15/B17</f>
        <v>3.72622082761326</v>
      </c>
      <c r="C18" s="43" t="n">
        <f aca="false">C15/C17</f>
        <v>2.16388814197365</v>
      </c>
      <c r="D18" s="43" t="n">
        <f aca="false">D15/D17</f>
        <v>2.09858203916273</v>
      </c>
      <c r="E18" s="44" t="n">
        <f aca="false">E15/E17</f>
        <v>2.25235208626609</v>
      </c>
      <c r="F18" s="44" t="n">
        <f aca="false">F15/F17</f>
        <v>2.65952502190545</v>
      </c>
      <c r="G18" s="44" t="n">
        <f aca="false">G15/G17</f>
        <v>3.11930802706645</v>
      </c>
      <c r="H18" s="44" t="n">
        <f aca="false">H15/H17</f>
        <v>3.57148639140278</v>
      </c>
      <c r="I18" s="44" t="n">
        <f aca="false">I15/I17</f>
        <v>3.87649877584944</v>
      </c>
    </row>
    <row r="19" customFormat="false" ht="15" hidden="false" customHeight="false" outlineLevel="0" collapsed="false">
      <c r="A19" s="4" t="s">
        <v>113</v>
      </c>
      <c r="B19" s="45" t="n">
        <f aca="false">-'Cash Flow'!B24/B17</f>
        <v>1.41792508334968</v>
      </c>
      <c r="C19" s="45" t="n">
        <f aca="false">-'Cash Flow'!C24/C17</f>
        <v>1.54611454692122</v>
      </c>
      <c r="D19" s="45" t="n">
        <f aca="false">-'Cash Flow'!D24/D17</f>
        <v>1.62525320729237</v>
      </c>
      <c r="E19" s="14" t="n">
        <f aca="false">D19*(1+Assumptions!E63)</f>
        <v>1.70651586765699</v>
      </c>
      <c r="F19" s="14" t="n">
        <f aca="false">E19*(1+Assumptions!F63)</f>
        <v>1.79184166103984</v>
      </c>
      <c r="G19" s="14" t="n">
        <f aca="false">F19*(1+Assumptions!G63)</f>
        <v>1.88143374409183</v>
      </c>
      <c r="H19" s="14" t="n">
        <f aca="false">G19*(1+Assumptions!H63)</f>
        <v>1.97550543129642</v>
      </c>
      <c r="I19" s="14" t="n">
        <f aca="false">H19*(1+Assumptions!I63)</f>
        <v>2.07428070286124</v>
      </c>
    </row>
    <row r="21" customFormat="false" ht="15" hidden="false" customHeight="false" outlineLevel="0" collapsed="false">
      <c r="A21" s="17" t="s">
        <v>114</v>
      </c>
      <c r="B21" s="18"/>
      <c r="C21" s="18"/>
      <c r="D21" s="18"/>
      <c r="E21" s="18"/>
      <c r="F21" s="18"/>
      <c r="G21" s="18"/>
      <c r="H21" s="18"/>
      <c r="I21" s="18"/>
    </row>
    <row r="22" customFormat="false" ht="15" hidden="false" customHeight="false" outlineLevel="0" collapsed="false">
      <c r="A22" s="4" t="s">
        <v>43</v>
      </c>
      <c r="B22" s="46" t="n">
        <f aca="false">B7/B5</f>
        <v>0.445601806783225</v>
      </c>
      <c r="C22" s="46" t="n">
        <f aca="false">C7/C5</f>
        <v>0.427346736055626</v>
      </c>
      <c r="D22" s="46" t="n">
        <f aca="false">D7/D5</f>
        <v>0.429134876503298</v>
      </c>
      <c r="E22" s="37" t="n">
        <f aca="false">E7/E5</f>
        <v>0.43</v>
      </c>
      <c r="F22" s="37" t="n">
        <f aca="false">F7/F5</f>
        <v>0.435</v>
      </c>
      <c r="G22" s="37" t="n">
        <f aca="false">G7/G5</f>
        <v>0.44</v>
      </c>
      <c r="H22" s="37" t="n">
        <f aca="false">H7/H5</f>
        <v>0.445</v>
      </c>
      <c r="I22" s="37" t="n">
        <f aca="false">I7/I5</f>
        <v>0.445</v>
      </c>
    </row>
    <row r="23" customFormat="false" ht="15" hidden="false" customHeight="false" outlineLevel="0" collapsed="false">
      <c r="A23" s="4" t="s">
        <v>115</v>
      </c>
      <c r="B23" s="46" t="n">
        <f aca="false">B8/B5</f>
        <v>0.0834274366262996</v>
      </c>
      <c r="C23" s="46" t="n">
        <f aca="false">C8/C5</f>
        <v>0.101254615733443</v>
      </c>
      <c r="D23" s="46" t="n">
        <f aca="false">D8/D5</f>
        <v>0.102461312987629</v>
      </c>
      <c r="E23" s="37" t="n">
        <f aca="false">E8/E5</f>
        <v>0.1</v>
      </c>
      <c r="F23" s="37" t="n">
        <f aca="false">F8/F5</f>
        <v>0.098</v>
      </c>
      <c r="G23" s="37" t="n">
        <f aca="false">G8/G5</f>
        <v>0.096</v>
      </c>
      <c r="H23" s="37" t="n">
        <f aca="false">H8/H5</f>
        <v>0.095</v>
      </c>
      <c r="I23" s="37" t="n">
        <f aca="false">I8/I5</f>
        <v>0.095</v>
      </c>
    </row>
    <row r="24" customFormat="false" ht="15" hidden="false" customHeight="false" outlineLevel="0" collapsed="false">
      <c r="A24" s="4" t="s">
        <v>116</v>
      </c>
      <c r="B24" s="46" t="n">
        <f aca="false">B9/B5</f>
        <v>0.239301429072077</v>
      </c>
      <c r="C24" s="46" t="n">
        <f aca="false">C9/C5</f>
        <v>0.246150856205057</v>
      </c>
      <c r="D24" s="46" t="n">
        <f aca="false">D9/D5</f>
        <v>0.244838139574982</v>
      </c>
      <c r="E24" s="37" t="n">
        <f aca="false">E9/E5</f>
        <v>0.243</v>
      </c>
      <c r="F24" s="37" t="n">
        <f aca="false">F9/F5</f>
        <v>0.24</v>
      </c>
      <c r="G24" s="37" t="n">
        <f aca="false">G9/G5</f>
        <v>0.237</v>
      </c>
      <c r="H24" s="37" t="n">
        <f aca="false">H9/H5</f>
        <v>0.235</v>
      </c>
      <c r="I24" s="37" t="n">
        <f aca="false">I9/I5</f>
        <v>0.233</v>
      </c>
    </row>
    <row r="25" customFormat="false" ht="15" hidden="false" customHeight="false" outlineLevel="0" collapsed="false">
      <c r="A25" s="4" t="s">
        <v>45</v>
      </c>
      <c r="B25" s="46" t="n">
        <f aca="false">B10/B5</f>
        <v>0.122872941084849</v>
      </c>
      <c r="C25" s="46" t="n">
        <f aca="false">C10/C5</f>
        <v>0.0799412641171263</v>
      </c>
      <c r="D25" s="46" t="n">
        <f aca="false">D10/D5</f>
        <v>0.0818354239406871</v>
      </c>
      <c r="E25" s="37" t="n">
        <f aca="false">E10/E5</f>
        <v>0.0869999999999999</v>
      </c>
      <c r="F25" s="37" t="n">
        <f aca="false">F10/F5</f>
        <v>0.0970000000000001</v>
      </c>
      <c r="G25" s="37" t="n">
        <f aca="false">G10/G5</f>
        <v>0.107</v>
      </c>
      <c r="H25" s="37" t="n">
        <f aca="false">H10/H5</f>
        <v>0.115</v>
      </c>
      <c r="I25" s="37" t="n">
        <f aca="false">I10/I5</f>
        <v>0.117</v>
      </c>
    </row>
    <row r="26" customFormat="false" ht="15" hidden="false" customHeight="false" outlineLevel="0" collapsed="false">
      <c r="A26" s="4" t="s">
        <v>117</v>
      </c>
      <c r="B26" s="46" t="n">
        <f aca="false">B15/B5</f>
        <v>0.110976986877458</v>
      </c>
      <c r="C26" s="46" t="n">
        <f aca="false">C15/C5</f>
        <v>0.0695113260921203</v>
      </c>
      <c r="D26" s="46" t="n">
        <f aca="false">D15/D5</f>
        <v>0.0669856459330144</v>
      </c>
      <c r="E26" s="37" t="n">
        <f aca="false">E15/E5</f>
        <v>0.0704402161640809</v>
      </c>
      <c r="F26" s="37" t="n">
        <f aca="false">F15/F5</f>
        <v>0.0793079191920873</v>
      </c>
      <c r="G26" s="37" t="n">
        <f aca="false">G15/G5</f>
        <v>0.0875206578730763</v>
      </c>
      <c r="H26" s="37" t="n">
        <f aca="false">H15/H5</f>
        <v>0.0941173225533618</v>
      </c>
      <c r="I26" s="37" t="n">
        <f aca="false">I15/I5</f>
        <v>0.0956739826978503</v>
      </c>
    </row>
    <row r="27" customFormat="false" ht="15" hidden="false" customHeight="false" outlineLevel="0" collapsed="false">
      <c r="A27" s="4" t="s">
        <v>76</v>
      </c>
      <c r="B27" s="46" t="n">
        <f aca="false">B14/B13</f>
        <v>0.149253731343284</v>
      </c>
      <c r="C27" s="46" t="n">
        <f aca="false">C14/C13</f>
        <v>0.171428571428571</v>
      </c>
      <c r="D27" s="46" t="n">
        <f aca="false">D14/D13</f>
        <v>0.203076923076923</v>
      </c>
      <c r="E27" s="37" t="n">
        <f aca="false">E14/E13</f>
        <v>0.19</v>
      </c>
      <c r="F27" s="37" t="n">
        <f aca="false">F14/F13</f>
        <v>0.19</v>
      </c>
      <c r="G27" s="37" t="n">
        <f aca="false">G14/G13</f>
        <v>0.19</v>
      </c>
      <c r="H27" s="37" t="n">
        <f aca="false">H14/H13</f>
        <v>0.19</v>
      </c>
      <c r="I27" s="37" t="n">
        <f aca="false">I14/I13</f>
        <v>0.19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6" t="s">
        <v>118</v>
      </c>
    </row>
    <row r="2" customFormat="false" ht="15" hidden="false" customHeight="false" outlineLevel="0" collapsed="false">
      <c r="A2" s="2" t="s">
        <v>119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</row>
    <row r="5" customFormat="false" ht="15" hidden="false" customHeight="false" outlineLevel="0" collapsed="false">
      <c r="A5" s="17" t="s">
        <v>120</v>
      </c>
      <c r="B5" s="18"/>
      <c r="C5" s="18"/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A6" s="4" t="s">
        <v>121</v>
      </c>
      <c r="B6" s="32" t="n">
        <v>9860</v>
      </c>
      <c r="C6" s="32" t="n">
        <v>7464</v>
      </c>
      <c r="D6" s="32" t="n">
        <v>7563</v>
      </c>
      <c r="E6" s="10" t="n">
        <f aca="false">'Cash Flow'!E32</f>
        <v>6598.61028586357</v>
      </c>
      <c r="F6" s="10" t="n">
        <f aca="false">'Cash Flow'!F32</f>
        <v>6857.9145165023</v>
      </c>
      <c r="G6" s="10" t="n">
        <f aca="false">'Cash Flow'!G32</f>
        <v>7139.12465896403</v>
      </c>
      <c r="H6" s="10" t="n">
        <f aca="false">'Cash Flow'!H32</f>
        <v>7085.23002857218</v>
      </c>
      <c r="I6" s="10" t="n">
        <f aca="false">'Cash Flow'!I32</f>
        <v>6676.27862376154</v>
      </c>
    </row>
    <row r="7" customFormat="false" ht="15" hidden="false" customHeight="false" outlineLevel="0" collapsed="false">
      <c r="A7" s="4" t="s">
        <v>122</v>
      </c>
      <c r="B7" s="32" t="n">
        <v>1722</v>
      </c>
      <c r="C7" s="32" t="n">
        <v>1687</v>
      </c>
      <c r="D7" s="32" t="n">
        <v>1464</v>
      </c>
      <c r="E7" s="33" t="n">
        <f aca="false">D7</f>
        <v>1464</v>
      </c>
      <c r="F7" s="33" t="n">
        <f aca="false">E7</f>
        <v>1464</v>
      </c>
      <c r="G7" s="33" t="n">
        <f aca="false">F7</f>
        <v>1464</v>
      </c>
      <c r="H7" s="33" t="n">
        <f aca="false">G7</f>
        <v>1464</v>
      </c>
      <c r="I7" s="33" t="n">
        <f aca="false">H7</f>
        <v>1464</v>
      </c>
    </row>
    <row r="8" customFormat="false" ht="15" hidden="false" customHeight="false" outlineLevel="0" collapsed="false">
      <c r="A8" s="4" t="s">
        <v>123</v>
      </c>
      <c r="B8" s="32" t="n">
        <v>4427</v>
      </c>
      <c r="C8" s="32" t="n">
        <v>4717</v>
      </c>
      <c r="D8" s="32" t="n">
        <v>5931</v>
      </c>
      <c r="E8" s="10" t="n">
        <f aca="false">'Income Statement'!E5*Assumptions!E55/365</f>
        <v>5688.0535890411</v>
      </c>
      <c r="F8" s="10" t="n">
        <f aca="false">'Income Statement'!F5*Assumptions!F55/365</f>
        <v>5622.16391013699</v>
      </c>
      <c r="G8" s="10" t="n">
        <f aca="false">'Income Statement'!G5*Assumptions!G55/365</f>
        <v>5591.86566443836</v>
      </c>
      <c r="H8" s="10" t="n">
        <f aca="false">'Income Statement'!H5*Assumptions!H55/365</f>
        <v>5820.64593818301</v>
      </c>
      <c r="I8" s="10" t="n">
        <f aca="false">'Income Statement'!I5*Assumptions!I55/365</f>
        <v>6043.256810789</v>
      </c>
    </row>
    <row r="9" customFormat="false" ht="15" hidden="false" customHeight="false" outlineLevel="0" collapsed="false">
      <c r="A9" s="4" t="s">
        <v>124</v>
      </c>
      <c r="B9" s="32" t="n">
        <v>7519</v>
      </c>
      <c r="C9" s="32" t="n">
        <v>7489</v>
      </c>
      <c r="D9" s="32" t="n">
        <v>7501</v>
      </c>
      <c r="E9" s="10" t="n">
        <f aca="false">'Income Statement'!E6*Assumptions!E56/365</f>
        <v>7368.61487671233</v>
      </c>
      <c r="F9" s="10" t="n">
        <f aca="false">'Income Statement'!F6*Assumptions!F56/365</f>
        <v>7411.88608819726</v>
      </c>
      <c r="G9" s="10" t="n">
        <f aca="false">'Income Statement'!G6*Assumptions!G56/365</f>
        <v>7515.46745300515</v>
      </c>
      <c r="H9" s="10" t="n">
        <f aca="false">'Income Statement'!H6*Assumptions!H56/365</f>
        <v>7672.33892726748</v>
      </c>
      <c r="I9" s="10" t="n">
        <f aca="false">'Income Statement'!I6*Assumptions!I56/365</f>
        <v>7965.76788372125</v>
      </c>
    </row>
    <row r="10" customFormat="false" ht="15" hidden="false" customHeight="false" outlineLevel="0" collapsed="false">
      <c r="A10" s="4" t="s">
        <v>125</v>
      </c>
      <c r="B10" s="32" t="n">
        <v>1854</v>
      </c>
      <c r="C10" s="32" t="n">
        <v>2005</v>
      </c>
      <c r="D10" s="32" t="n">
        <v>2144</v>
      </c>
      <c r="E10" s="10" t="n">
        <f aca="false">'Income Statement'!E5*Assumptions!E58</f>
        <v>2170.50954</v>
      </c>
      <c r="F10" s="10" t="n">
        <f aca="false">'Income Statement'!F5*Assumptions!F58</f>
        <v>2247.5269536</v>
      </c>
      <c r="G10" s="10" t="n">
        <f aca="false">'Income Statement'!G5*Assumptions!G58</f>
        <v>2347.185612648</v>
      </c>
      <c r="H10" s="10" t="n">
        <f aca="false">'Income Statement'!H5*Assumptions!H58</f>
        <v>2443.21613255232</v>
      </c>
      <c r="I10" s="10" t="n">
        <f aca="false">'Income Statement'!I5*Assumptions!I58</f>
        <v>2536.65704632868</v>
      </c>
    </row>
    <row r="11" customFormat="false" ht="15" hidden="false" customHeight="false" outlineLevel="0" collapsed="false">
      <c r="A11" s="3" t="s">
        <v>126</v>
      </c>
      <c r="B11" s="35" t="n">
        <f aca="false">SUM(B6:B10)</f>
        <v>25382</v>
      </c>
      <c r="C11" s="35" t="n">
        <f aca="false">SUM(C6:C10)</f>
        <v>23362</v>
      </c>
      <c r="D11" s="35" t="n">
        <f aca="false">SUM(D6:D10)</f>
        <v>24603</v>
      </c>
      <c r="E11" s="36" t="n">
        <f aca="false">SUM(E6:E10)</f>
        <v>23289.788291617</v>
      </c>
      <c r="F11" s="36" t="n">
        <f aca="false">SUM(F6:F10)</f>
        <v>23603.4914684366</v>
      </c>
      <c r="G11" s="36" t="n">
        <f aca="false">SUM(G6:G10)</f>
        <v>24057.6433890555</v>
      </c>
      <c r="H11" s="36" t="n">
        <f aca="false">SUM(H6:H10)</f>
        <v>24485.431026575</v>
      </c>
      <c r="I11" s="36" t="n">
        <f aca="false">SUM(I6:I10)</f>
        <v>24685.9603646005</v>
      </c>
    </row>
    <row r="12" customFormat="false" ht="15" hidden="false" customHeight="false" outlineLevel="0" collapsed="false">
      <c r="A12" s="4" t="s">
        <v>127</v>
      </c>
      <c r="B12" s="32" t="n">
        <v>5000</v>
      </c>
      <c r="C12" s="32" t="n">
        <v>4828</v>
      </c>
      <c r="D12" s="32" t="n">
        <v>4796</v>
      </c>
      <c r="E12" s="10" t="n">
        <f aca="false">D12-'Cash Flow'!E18-'Cash Flow'!E7</f>
        <v>4796</v>
      </c>
      <c r="F12" s="10" t="n">
        <f aca="false">E12-'Cash Flow'!F18-'Cash Flow'!F7</f>
        <v>4796</v>
      </c>
      <c r="G12" s="10" t="n">
        <f aca="false">F12-'Cash Flow'!G18-'Cash Flow'!G7</f>
        <v>4796</v>
      </c>
      <c r="H12" s="10" t="n">
        <f aca="false">G12-'Cash Flow'!H18-'Cash Flow'!H7</f>
        <v>4796</v>
      </c>
      <c r="I12" s="10" t="n">
        <f aca="false">H12-'Cash Flow'!I18-'Cash Flow'!I7</f>
        <v>4796</v>
      </c>
    </row>
    <row r="13" customFormat="false" ht="15" hidden="false" customHeight="false" outlineLevel="0" collapsed="false">
      <c r="A13" s="4" t="s">
        <v>128</v>
      </c>
      <c r="B13" s="32" t="n">
        <v>2718</v>
      </c>
      <c r="C13" s="32" t="n">
        <v>2712</v>
      </c>
      <c r="D13" s="32" t="n">
        <v>2838</v>
      </c>
      <c r="E13" s="33" t="n">
        <f aca="false">D13</f>
        <v>2838</v>
      </c>
      <c r="F13" s="33" t="n">
        <f aca="false">E13</f>
        <v>2838</v>
      </c>
      <c r="G13" s="33" t="n">
        <f aca="false">F13</f>
        <v>2838</v>
      </c>
      <c r="H13" s="33" t="n">
        <f aca="false">G13</f>
        <v>2838</v>
      </c>
      <c r="I13" s="33" t="n">
        <f aca="false">H13</f>
        <v>2838</v>
      </c>
    </row>
    <row r="14" customFormat="false" ht="15" hidden="false" customHeight="false" outlineLevel="0" collapsed="false">
      <c r="A14" s="4" t="s">
        <v>129</v>
      </c>
      <c r="B14" s="32" t="n">
        <v>499</v>
      </c>
      <c r="C14" s="32" t="n">
        <v>499</v>
      </c>
      <c r="D14" s="32" t="n">
        <v>499</v>
      </c>
      <c r="E14" s="33" t="n">
        <f aca="false">D14</f>
        <v>499</v>
      </c>
      <c r="F14" s="33" t="n">
        <f aca="false">E14</f>
        <v>499</v>
      </c>
      <c r="G14" s="33" t="n">
        <f aca="false">F14</f>
        <v>499</v>
      </c>
      <c r="H14" s="33" t="n">
        <f aca="false">G14</f>
        <v>499</v>
      </c>
      <c r="I14" s="33" t="n">
        <f aca="false">H14</f>
        <v>499</v>
      </c>
    </row>
    <row r="15" customFormat="false" ht="15" hidden="false" customHeight="false" outlineLevel="0" collapsed="false">
      <c r="A15" s="4" t="s">
        <v>130</v>
      </c>
      <c r="B15" s="32" t="n">
        <v>4511</v>
      </c>
      <c r="C15" s="32" t="n">
        <v>5178</v>
      </c>
      <c r="D15" s="32" t="n">
        <v>5674</v>
      </c>
      <c r="E15" s="33" t="n">
        <f aca="false">D15</f>
        <v>5674</v>
      </c>
      <c r="F15" s="33" t="n">
        <f aca="false">E15</f>
        <v>5674</v>
      </c>
      <c r="G15" s="33" t="n">
        <f aca="false">F15</f>
        <v>5674</v>
      </c>
      <c r="H15" s="33" t="n">
        <f aca="false">G15</f>
        <v>5674</v>
      </c>
      <c r="I15" s="33" t="n">
        <f aca="false">H15</f>
        <v>5674</v>
      </c>
    </row>
    <row r="16" customFormat="false" ht="15" hidden="false" customHeight="false" outlineLevel="0" collapsed="false">
      <c r="A16" s="3" t="s">
        <v>131</v>
      </c>
      <c r="B16" s="39" t="n">
        <f aca="false">B11+SUM(B12:B15)</f>
        <v>38110</v>
      </c>
      <c r="C16" s="39" t="n">
        <f aca="false">C11+SUM(C12:C15)</f>
        <v>36579</v>
      </c>
      <c r="D16" s="39" t="n">
        <f aca="false">D11+SUM(D12:D15)</f>
        <v>38410</v>
      </c>
      <c r="E16" s="40" t="n">
        <f aca="false">E11+SUM(E12:E15)</f>
        <v>37096.788291617</v>
      </c>
      <c r="F16" s="40" t="n">
        <f aca="false">F11+SUM(F12:F15)</f>
        <v>37410.4914684366</v>
      </c>
      <c r="G16" s="40" t="n">
        <f aca="false">G11+SUM(G12:G15)</f>
        <v>37864.6433890555</v>
      </c>
      <c r="H16" s="40" t="n">
        <f aca="false">H11+SUM(H12:H15)</f>
        <v>38292.431026575</v>
      </c>
      <c r="I16" s="40" t="n">
        <f aca="false">I11+SUM(I12:I15)</f>
        <v>38492.9603646005</v>
      </c>
    </row>
    <row r="18" customFormat="false" ht="15" hidden="false" customHeight="false" outlineLevel="0" collapsed="false">
      <c r="A18" s="17" t="s">
        <v>132</v>
      </c>
      <c r="B18" s="18"/>
      <c r="C18" s="18"/>
      <c r="D18" s="18"/>
      <c r="E18" s="18"/>
      <c r="F18" s="18"/>
      <c r="G18" s="18"/>
      <c r="H18" s="18"/>
      <c r="I18" s="18"/>
    </row>
    <row r="19" customFormat="false" ht="15" hidden="false" customHeight="false" outlineLevel="0" collapsed="false">
      <c r="A19" s="4" t="s">
        <v>133</v>
      </c>
      <c r="B19" s="32" t="n">
        <v>1006</v>
      </c>
      <c r="C19" s="32" t="n">
        <v>5</v>
      </c>
      <c r="D19" s="32" t="n">
        <v>2000</v>
      </c>
      <c r="E19" s="10" t="n">
        <f aca="false">MAX(D19-Assumptions!E62,0)</f>
        <v>0</v>
      </c>
      <c r="F19" s="10" t="n">
        <f aca="false">MAX(E19-Assumptions!F62,0)</f>
        <v>0</v>
      </c>
      <c r="G19" s="10" t="n">
        <f aca="false">MAX(F19-Assumptions!G62,0)</f>
        <v>0</v>
      </c>
      <c r="H19" s="10" t="n">
        <f aca="false">MAX(G19-Assumptions!H62,0)</f>
        <v>0</v>
      </c>
      <c r="I19" s="10" t="n">
        <f aca="false">MAX(H19-Assumptions!I62,0)</f>
        <v>0</v>
      </c>
    </row>
    <row r="20" customFormat="false" ht="15" hidden="false" customHeight="false" outlineLevel="0" collapsed="false">
      <c r="A20" s="4" t="s">
        <v>134</v>
      </c>
      <c r="B20" s="32" t="n">
        <v>2851</v>
      </c>
      <c r="C20" s="32" t="n">
        <v>3479</v>
      </c>
      <c r="D20" s="32" t="n">
        <v>3600</v>
      </c>
      <c r="E20" s="10" t="n">
        <f aca="false">'Income Statement'!E6*Assumptions!E57/365</f>
        <v>3684.30743835617</v>
      </c>
      <c r="F20" s="10" t="n">
        <f aca="false">'Income Statement'!F6*Assumptions!F57/365</f>
        <v>3781.57453479452</v>
      </c>
      <c r="G20" s="10" t="n">
        <f aca="false">'Income Statement'!G6*Assumptions!G57/365</f>
        <v>3914.30596510685</v>
      </c>
      <c r="H20" s="10" t="n">
        <f aca="false">'Income Statement'!H6*Assumptions!H57/365</f>
        <v>4038.07311961447</v>
      </c>
      <c r="I20" s="10" t="n">
        <f aca="false">'Income Statement'!I6*Assumptions!I57/365</f>
        <v>4192.50941248487</v>
      </c>
    </row>
    <row r="21" customFormat="false" ht="15" hidden="false" customHeight="false" outlineLevel="0" collapsed="false">
      <c r="A21" s="4" t="s">
        <v>135</v>
      </c>
      <c r="B21" s="32" t="n">
        <v>5725</v>
      </c>
      <c r="C21" s="32" t="n">
        <v>5911</v>
      </c>
      <c r="D21" s="32" t="n">
        <v>6092</v>
      </c>
      <c r="E21" s="10" t="n">
        <f aca="false">'Income Statement'!E5*Assumptions!E59</f>
        <v>6181.23369</v>
      </c>
      <c r="F21" s="10" t="n">
        <f aca="false">'Income Statement'!F5*Assumptions!F59</f>
        <v>6400.5658896</v>
      </c>
      <c r="G21" s="10" t="n">
        <f aca="false">'Income Statement'!G5*Assumptions!G59</f>
        <v>6684.376418628</v>
      </c>
      <c r="H21" s="10" t="n">
        <f aca="false">'Income Statement'!H5*Assumptions!H59</f>
        <v>6957.85463835552</v>
      </c>
      <c r="I21" s="10" t="n">
        <f aca="false">'Income Statement'!I5*Assumptions!I59</f>
        <v>7223.9581101969</v>
      </c>
    </row>
    <row r="22" customFormat="false" ht="15" hidden="false" customHeight="false" outlineLevel="0" collapsed="false">
      <c r="A22" s="4" t="s">
        <v>136</v>
      </c>
      <c r="B22" s="32" t="n">
        <v>534</v>
      </c>
      <c r="C22" s="32" t="n">
        <v>669</v>
      </c>
      <c r="D22" s="32" t="n">
        <v>377</v>
      </c>
      <c r="E22" s="33" t="n">
        <f aca="false">D22</f>
        <v>377</v>
      </c>
      <c r="F22" s="33" t="n">
        <f aca="false">E22</f>
        <v>377</v>
      </c>
      <c r="G22" s="33" t="n">
        <f aca="false">F22</f>
        <v>377</v>
      </c>
      <c r="H22" s="33" t="n">
        <f aca="false">G22</f>
        <v>377</v>
      </c>
      <c r="I22" s="33" t="n">
        <f aca="false">H22</f>
        <v>377</v>
      </c>
    </row>
    <row r="23" customFormat="false" ht="15" hidden="false" customHeight="false" outlineLevel="0" collapsed="false">
      <c r="A23" s="4" t="s">
        <v>137</v>
      </c>
      <c r="B23" s="32" t="n">
        <v>477</v>
      </c>
      <c r="C23" s="32" t="n">
        <v>502</v>
      </c>
      <c r="D23" s="32" t="n">
        <v>478</v>
      </c>
      <c r="E23" s="33" t="n">
        <f aca="false">D23</f>
        <v>478</v>
      </c>
      <c r="F23" s="33" t="n">
        <f aca="false">E23</f>
        <v>478</v>
      </c>
      <c r="G23" s="33" t="n">
        <f aca="false">F23</f>
        <v>478</v>
      </c>
      <c r="H23" s="33" t="n">
        <f aca="false">G23</f>
        <v>478</v>
      </c>
      <c r="I23" s="33" t="n">
        <f aca="false">H23</f>
        <v>478</v>
      </c>
    </row>
    <row r="24" customFormat="false" ht="15" hidden="false" customHeight="false" outlineLevel="0" collapsed="false">
      <c r="A24" s="3" t="s">
        <v>138</v>
      </c>
      <c r="B24" s="35" t="n">
        <f aca="false">SUM(B19:B23)</f>
        <v>10593</v>
      </c>
      <c r="C24" s="35" t="n">
        <f aca="false">SUM(C19:C23)</f>
        <v>10566</v>
      </c>
      <c r="D24" s="35" t="n">
        <f aca="false">SUM(D19:D23)</f>
        <v>12547</v>
      </c>
      <c r="E24" s="36" t="n">
        <f aca="false">SUM(E19:E23)</f>
        <v>10720.5411283562</v>
      </c>
      <c r="F24" s="36" t="n">
        <f aca="false">SUM(F19:F23)</f>
        <v>11037.1404243945</v>
      </c>
      <c r="G24" s="36" t="n">
        <f aca="false">SUM(G19:G23)</f>
        <v>11453.6823837349</v>
      </c>
      <c r="H24" s="36" t="n">
        <f aca="false">SUM(H19:H23)</f>
        <v>11850.92775797</v>
      </c>
      <c r="I24" s="36" t="n">
        <f aca="false">SUM(I19:I23)</f>
        <v>12271.4675226818</v>
      </c>
    </row>
    <row r="25" customFormat="false" ht="15" hidden="false" customHeight="false" outlineLevel="0" collapsed="false">
      <c r="A25" s="4" t="s">
        <v>139</v>
      </c>
      <c r="B25" s="32" t="n">
        <v>7903</v>
      </c>
      <c r="C25" s="32" t="n">
        <v>7961</v>
      </c>
      <c r="D25" s="32" t="n">
        <v>5942</v>
      </c>
      <c r="E25" s="10" t="n">
        <f aca="false">D25-MAX(Assumptions!E62-D19,0)</f>
        <v>5942</v>
      </c>
      <c r="F25" s="10" t="n">
        <f aca="false">E25-MAX(Assumptions!F62-E19,0)</f>
        <v>5942</v>
      </c>
      <c r="G25" s="10" t="n">
        <f aca="false">F25-MAX(Assumptions!G62-F19,0)</f>
        <v>5942</v>
      </c>
      <c r="H25" s="10" t="n">
        <f aca="false">G25-MAX(Assumptions!H62-G19,0)</f>
        <v>5942</v>
      </c>
      <c r="I25" s="10" t="n">
        <f aca="false">H25-MAX(Assumptions!I62-H19,0)</f>
        <v>5942</v>
      </c>
    </row>
    <row r="26" customFormat="false" ht="15" hidden="false" customHeight="false" outlineLevel="0" collapsed="false">
      <c r="A26" s="4" t="s">
        <v>140</v>
      </c>
      <c r="B26" s="32" t="n">
        <v>2566</v>
      </c>
      <c r="C26" s="32" t="n">
        <v>2550</v>
      </c>
      <c r="D26" s="32" t="n">
        <v>2613</v>
      </c>
      <c r="E26" s="33" t="n">
        <f aca="false">D26</f>
        <v>2613</v>
      </c>
      <c r="F26" s="33" t="n">
        <f aca="false">E26</f>
        <v>2613</v>
      </c>
      <c r="G26" s="33" t="n">
        <f aca="false">F26</f>
        <v>2613</v>
      </c>
      <c r="H26" s="33" t="n">
        <f aca="false">G26</f>
        <v>2613</v>
      </c>
      <c r="I26" s="33" t="n">
        <f aca="false">H26</f>
        <v>2613</v>
      </c>
    </row>
    <row r="27" customFormat="false" ht="15" hidden="false" customHeight="false" outlineLevel="0" collapsed="false">
      <c r="A27" s="4" t="s">
        <v>141</v>
      </c>
      <c r="B27" s="32" t="n">
        <v>2618</v>
      </c>
      <c r="C27" s="32" t="n">
        <v>2289</v>
      </c>
      <c r="D27" s="32" t="n">
        <v>2443</v>
      </c>
      <c r="E27" s="33" t="n">
        <f aca="false">D27</f>
        <v>2443</v>
      </c>
      <c r="F27" s="33" t="n">
        <f aca="false">E27</f>
        <v>2443</v>
      </c>
      <c r="G27" s="33" t="n">
        <f aca="false">F27</f>
        <v>2443</v>
      </c>
      <c r="H27" s="33" t="n">
        <f aca="false">G27</f>
        <v>2443</v>
      </c>
      <c r="I27" s="33" t="n">
        <f aca="false">H27</f>
        <v>2443</v>
      </c>
    </row>
    <row r="28" customFormat="false" ht="15" hidden="false" customHeight="false" outlineLevel="0" collapsed="false">
      <c r="A28" s="3" t="s">
        <v>142</v>
      </c>
      <c r="B28" s="35" t="n">
        <f aca="false">B24+SUM(B25:B27)</f>
        <v>23680</v>
      </c>
      <c r="C28" s="35" t="n">
        <f aca="false">C24+SUM(C25:C27)</f>
        <v>23366</v>
      </c>
      <c r="D28" s="35" t="n">
        <f aca="false">D24+SUM(D25:D27)</f>
        <v>23545</v>
      </c>
      <c r="E28" s="36" t="n">
        <f aca="false">E24+SUM(E25:E27)</f>
        <v>21718.5411283562</v>
      </c>
      <c r="F28" s="36" t="n">
        <f aca="false">F24+SUM(F25:F27)</f>
        <v>22035.1404243945</v>
      </c>
      <c r="G28" s="36" t="n">
        <f aca="false">G24+SUM(G25:G27)</f>
        <v>22451.6823837349</v>
      </c>
      <c r="H28" s="36" t="n">
        <f aca="false">H24+SUM(H25:H27)</f>
        <v>22848.92775797</v>
      </c>
      <c r="I28" s="36" t="n">
        <f aca="false">I24+SUM(I25:I27)</f>
        <v>23269.4675226818</v>
      </c>
    </row>
    <row r="30" customFormat="false" ht="15" hidden="false" customHeight="false" outlineLevel="0" collapsed="false">
      <c r="A30" s="17" t="s">
        <v>143</v>
      </c>
      <c r="B30" s="18"/>
      <c r="C30" s="18"/>
      <c r="D30" s="18"/>
      <c r="E30" s="18"/>
      <c r="F30" s="18"/>
      <c r="G30" s="18"/>
      <c r="H30" s="18"/>
      <c r="I30" s="18"/>
    </row>
    <row r="31" customFormat="false" ht="15" hidden="false" customHeight="false" outlineLevel="0" collapsed="false">
      <c r="A31" s="4" t="s">
        <v>144</v>
      </c>
      <c r="B31" s="32" t="n">
        <v>13412</v>
      </c>
      <c r="C31" s="32" t="n">
        <v>14198</v>
      </c>
      <c r="D31" s="32" t="n">
        <v>15161</v>
      </c>
      <c r="E31" s="10" t="n">
        <f aca="false">D31+'Cash Flow'!E8</f>
        <v>15868.77485</v>
      </c>
      <c r="F31" s="10" t="n">
        <f aca="false">E31+'Cash Flow'!F8</f>
        <v>16601.664074</v>
      </c>
      <c r="G31" s="10" t="n">
        <f aca="false">F31+'Cash Flow'!G8</f>
        <v>17367.05068682</v>
      </c>
      <c r="H31" s="10" t="n">
        <f aca="false">G31+'Cash Flow'!H8</f>
        <v>18163.7515996088</v>
      </c>
      <c r="I31" s="10" t="n">
        <f aca="false">H31+'Cash Flow'!I8</f>
        <v>18990.9223755855</v>
      </c>
    </row>
    <row r="32" customFormat="false" ht="15" hidden="false" customHeight="false" outlineLevel="0" collapsed="false">
      <c r="A32" s="4" t="s">
        <v>145</v>
      </c>
      <c r="B32" s="32" t="n">
        <v>53</v>
      </c>
      <c r="C32" s="32" t="n">
        <v>-258</v>
      </c>
      <c r="D32" s="32" t="n">
        <v>-141</v>
      </c>
      <c r="E32" s="33" t="n">
        <f aca="false">D32</f>
        <v>-141</v>
      </c>
      <c r="F32" s="33" t="n">
        <f aca="false">E32</f>
        <v>-141</v>
      </c>
      <c r="G32" s="33" t="n">
        <f aca="false">F32</f>
        <v>-141</v>
      </c>
      <c r="H32" s="33" t="n">
        <f aca="false">G32</f>
        <v>-141</v>
      </c>
      <c r="I32" s="33" t="n">
        <f aca="false">H32</f>
        <v>-141</v>
      </c>
    </row>
    <row r="33" customFormat="false" ht="15" hidden="false" customHeight="false" outlineLevel="0" collapsed="false">
      <c r="A33" s="4" t="s">
        <v>146</v>
      </c>
      <c r="B33" s="32" t="n">
        <v>965</v>
      </c>
      <c r="C33" s="32" t="n">
        <v>-727</v>
      </c>
      <c r="D33" s="32" t="n">
        <v>-155</v>
      </c>
      <c r="E33" s="10" t="n">
        <f aca="false">D33+'Income Statement'!E15+'Cash Flow'!E24+'Cash Flow'!E25</f>
        <v>-349.527686739165</v>
      </c>
      <c r="F33" s="10" t="n">
        <f aca="false">E33+'Income Statement'!F15+'Cash Flow'!F24+'Cash Flow'!F25</f>
        <v>-1085.31302995797</v>
      </c>
      <c r="G33" s="10" t="n">
        <f aca="false">F33+'Income Statement'!G15+'Cash Flow'!G24+'Cash Flow'!G25</f>
        <v>-1813.08968149931</v>
      </c>
      <c r="H33" s="10" t="n">
        <f aca="false">G33+'Income Statement'!H15+'Cash Flow'!H24+'Cash Flow'!H25</f>
        <v>-2579.24833100379</v>
      </c>
      <c r="I33" s="10" t="n">
        <f aca="false">H33+'Income Statement'!I15+'Cash Flow'!I24+'Cash Flow'!I25</f>
        <v>-3626.42953366684</v>
      </c>
    </row>
    <row r="34" customFormat="false" ht="15" hidden="false" customHeight="false" outlineLevel="0" collapsed="false">
      <c r="A34" s="3" t="s">
        <v>147</v>
      </c>
      <c r="B34" s="35" t="n">
        <f aca="false">SUM(B31:B33)</f>
        <v>14430</v>
      </c>
      <c r="C34" s="35" t="n">
        <f aca="false">SUM(C31:C33)</f>
        <v>13213</v>
      </c>
      <c r="D34" s="35" t="n">
        <f aca="false">SUM(D31:D33)</f>
        <v>14865</v>
      </c>
      <c r="E34" s="36" t="n">
        <f aca="false">SUM(E31:E33)</f>
        <v>15378.2471632608</v>
      </c>
      <c r="F34" s="36" t="n">
        <f aca="false">SUM(F31:F33)</f>
        <v>15375.351044042</v>
      </c>
      <c r="G34" s="36" t="n">
        <f aca="false">SUM(G31:G33)</f>
        <v>15412.9610053207</v>
      </c>
      <c r="H34" s="36" t="n">
        <f aca="false">SUM(H31:H33)</f>
        <v>15443.503268605</v>
      </c>
      <c r="I34" s="36" t="n">
        <f aca="false">SUM(I31:I33)</f>
        <v>15223.4928419187</v>
      </c>
    </row>
    <row r="35" customFormat="false" ht="15" hidden="false" customHeight="false" outlineLevel="0" collapsed="false">
      <c r="A35" s="3" t="s">
        <v>148</v>
      </c>
      <c r="B35" s="39" t="n">
        <f aca="false">B28+B34</f>
        <v>38110</v>
      </c>
      <c r="C35" s="39" t="n">
        <f aca="false">C28+C34</f>
        <v>36579</v>
      </c>
      <c r="D35" s="39" t="n">
        <f aca="false">D28+D34</f>
        <v>38410</v>
      </c>
      <c r="E35" s="40" t="n">
        <f aca="false">E28+E34</f>
        <v>37096.788291617</v>
      </c>
      <c r="F35" s="40" t="n">
        <f aca="false">F28+F34</f>
        <v>37410.4914684366</v>
      </c>
      <c r="G35" s="40" t="n">
        <f aca="false">G28+G34</f>
        <v>37864.6433890555</v>
      </c>
      <c r="H35" s="40" t="n">
        <f aca="false">H28+H34</f>
        <v>38292.431026575</v>
      </c>
      <c r="I35" s="40" t="n">
        <f aca="false">I28+I34</f>
        <v>38492.9603646005</v>
      </c>
    </row>
    <row r="37" customFormat="false" ht="15" hidden="false" customHeight="false" outlineLevel="0" collapsed="false">
      <c r="A37" s="4" t="s">
        <v>149</v>
      </c>
      <c r="B37" s="47" t="n">
        <f aca="false">ROUND(B16-B35,0)</f>
        <v>0</v>
      </c>
      <c r="C37" s="47" t="n">
        <f aca="false">ROUND(C16-C35,0)</f>
        <v>0</v>
      </c>
      <c r="D37" s="47" t="n">
        <f aca="false">ROUND(D16-D35,0)</f>
        <v>0</v>
      </c>
      <c r="E37" s="33" t="n">
        <f aca="false">ROUND(E16-E35,0)</f>
        <v>0</v>
      </c>
      <c r="F37" s="33" t="n">
        <f aca="false">ROUND(F16-F35,0)</f>
        <v>0</v>
      </c>
      <c r="G37" s="33" t="n">
        <f aca="false">ROUND(G16-G35,0)</f>
        <v>0</v>
      </c>
      <c r="H37" s="33" t="n">
        <f aca="false">ROUND(H16-H35,0)</f>
        <v>0</v>
      </c>
      <c r="I37" s="33" t="n">
        <f aca="false">ROUND(I16-I35,0)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6" t="s">
        <v>150</v>
      </c>
    </row>
    <row r="2" customFormat="false" ht="15" hidden="false" customHeight="false" outlineLevel="0" collapsed="false">
      <c r="A2" s="2" t="s">
        <v>151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</row>
    <row r="5" customFormat="false" ht="15" hidden="false" customHeight="false" outlineLevel="0" collapsed="false">
      <c r="A5" s="17" t="s">
        <v>152</v>
      </c>
      <c r="B5" s="18"/>
      <c r="C5" s="18"/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A6" s="4" t="s">
        <v>46</v>
      </c>
      <c r="B6" s="47" t="n">
        <f aca="false">'Income Statement'!B15</f>
        <v>5700</v>
      </c>
      <c r="C6" s="47" t="n">
        <f aca="false">'Income Statement'!C15</f>
        <v>3219</v>
      </c>
      <c r="D6" s="47" t="n">
        <f aca="false">'Income Statement'!D15</f>
        <v>3108</v>
      </c>
      <c r="E6" s="10" t="n">
        <f aca="false">'Income Statement'!E15</f>
        <v>3323.7208953</v>
      </c>
      <c r="F6" s="10" t="n">
        <f aca="false">'Income Statement'!F15</f>
        <v>3874.92795691624</v>
      </c>
      <c r="G6" s="10" t="n">
        <f aca="false">'Income Statement'!G15</f>
        <v>4465.8093254168</v>
      </c>
      <c r="H6" s="10" t="n">
        <f aca="false">'Income Statement'!H15</f>
        <v>4998.89045250008</v>
      </c>
      <c r="I6" s="10" t="n">
        <f aca="false">'Income Statement'!I15</f>
        <v>5275.91483393109</v>
      </c>
    </row>
    <row r="7" customFormat="false" ht="15" hidden="false" customHeight="false" outlineLevel="0" collapsed="false">
      <c r="A7" s="4" t="s">
        <v>72</v>
      </c>
      <c r="B7" s="32" t="n">
        <v>796</v>
      </c>
      <c r="C7" s="32" t="n">
        <v>775</v>
      </c>
      <c r="D7" s="32" t="n">
        <v>747</v>
      </c>
      <c r="E7" s="10" t="n">
        <f aca="false">'Income Statement'!E5*Assumptions!E45</f>
        <v>754.95984</v>
      </c>
      <c r="F7" s="10" t="n">
        <f aca="false">'Income Statement'!F5*Assumptions!F45</f>
        <v>781.7485056</v>
      </c>
      <c r="G7" s="10" t="n">
        <f aca="false">'Income Statement'!G5*Assumptions!G45</f>
        <v>816.412387008</v>
      </c>
      <c r="H7" s="10" t="n">
        <f aca="false">'Income Statement'!H5*Assumptions!H45</f>
        <v>849.81430697472</v>
      </c>
      <c r="I7" s="10" t="n">
        <f aca="false">'Income Statement'!I5*Assumptions!I45</f>
        <v>882.315494375194</v>
      </c>
    </row>
    <row r="8" customFormat="false" ht="15" hidden="false" customHeight="false" outlineLevel="0" collapsed="false">
      <c r="A8" s="4" t="s">
        <v>153</v>
      </c>
      <c r="B8" s="32" t="n">
        <v>804</v>
      </c>
      <c r="C8" s="32" t="n">
        <v>709</v>
      </c>
      <c r="D8" s="32" t="n">
        <v>715</v>
      </c>
      <c r="E8" s="10" t="n">
        <f aca="false">'Income Statement'!E5*Assumptions!E46</f>
        <v>707.77485</v>
      </c>
      <c r="F8" s="10" t="n">
        <f aca="false">'Income Statement'!F5*Assumptions!F46</f>
        <v>732.889224</v>
      </c>
      <c r="G8" s="10" t="n">
        <f aca="false">'Income Statement'!G5*Assumptions!G46</f>
        <v>765.38661282</v>
      </c>
      <c r="H8" s="10" t="n">
        <f aca="false">'Income Statement'!H5*Assumptions!H46</f>
        <v>796.7009127888</v>
      </c>
      <c r="I8" s="10" t="n">
        <f aca="false">'Income Statement'!I5*Assumptions!I46</f>
        <v>827.170775976744</v>
      </c>
    </row>
    <row r="9" customFormat="false" ht="15" hidden="false" customHeight="false" outlineLevel="0" collapsed="false">
      <c r="A9" s="4" t="s">
        <v>154</v>
      </c>
      <c r="B9" s="22"/>
      <c r="C9" s="22"/>
      <c r="D9" s="22"/>
      <c r="E9" s="10" t="n">
        <f aca="false">'Balance Sheet'!D8-'Balance Sheet'!E8</f>
        <v>242.946410958903</v>
      </c>
      <c r="F9" s="10" t="n">
        <f aca="false">'Balance Sheet'!E8-'Balance Sheet'!F8</f>
        <v>65.88967890411</v>
      </c>
      <c r="G9" s="10" t="n">
        <f aca="false">'Balance Sheet'!F8-'Balance Sheet'!G8</f>
        <v>30.2982456986301</v>
      </c>
      <c r="H9" s="10" t="n">
        <f aca="false">'Balance Sheet'!G8-'Balance Sheet'!H8</f>
        <v>-228.780273744657</v>
      </c>
      <c r="I9" s="10" t="n">
        <f aca="false">'Balance Sheet'!H8-'Balance Sheet'!I8</f>
        <v>-222.610872605984</v>
      </c>
    </row>
    <row r="10" customFormat="false" ht="15" hidden="false" customHeight="false" outlineLevel="0" collapsed="false">
      <c r="A10" s="4" t="s">
        <v>155</v>
      </c>
      <c r="B10" s="22"/>
      <c r="C10" s="22"/>
      <c r="D10" s="22"/>
      <c r="E10" s="10" t="n">
        <f aca="false">'Balance Sheet'!D9-'Balance Sheet'!E9</f>
        <v>132.38512328767</v>
      </c>
      <c r="F10" s="10" t="n">
        <f aca="false">'Balance Sheet'!E9-'Balance Sheet'!F9</f>
        <v>-43.2712114849292</v>
      </c>
      <c r="G10" s="10" t="n">
        <f aca="false">'Balance Sheet'!F9-'Balance Sheet'!G9</f>
        <v>-103.581364807893</v>
      </c>
      <c r="H10" s="10" t="n">
        <f aca="false">'Balance Sheet'!G9-'Balance Sheet'!H9</f>
        <v>-156.871474262332</v>
      </c>
      <c r="I10" s="10" t="n">
        <f aca="false">'Balance Sheet'!H9-'Balance Sheet'!I9</f>
        <v>-293.428956453763</v>
      </c>
    </row>
    <row r="11" customFormat="false" ht="15" hidden="false" customHeight="false" outlineLevel="0" collapsed="false">
      <c r="A11" s="4" t="s">
        <v>156</v>
      </c>
      <c r="B11" s="22"/>
      <c r="C11" s="22"/>
      <c r="D11" s="22"/>
      <c r="E11" s="10" t="n">
        <f aca="false">'Balance Sheet'!D10-'Balance Sheet'!E10</f>
        <v>-26.50954</v>
      </c>
      <c r="F11" s="10" t="n">
        <f aca="false">'Balance Sheet'!E10-'Balance Sheet'!F10</f>
        <v>-77.0174136000001</v>
      </c>
      <c r="G11" s="10" t="n">
        <f aca="false">'Balance Sheet'!F10-'Balance Sheet'!G10</f>
        <v>-99.6586590480001</v>
      </c>
      <c r="H11" s="10" t="n">
        <f aca="false">'Balance Sheet'!G10-'Balance Sheet'!H10</f>
        <v>-96.03051990432</v>
      </c>
      <c r="I11" s="10" t="n">
        <f aca="false">'Balance Sheet'!H10-'Balance Sheet'!I10</f>
        <v>-93.4409137763619</v>
      </c>
    </row>
    <row r="12" customFormat="false" ht="15" hidden="false" customHeight="false" outlineLevel="0" collapsed="false">
      <c r="A12" s="4" t="s">
        <v>157</v>
      </c>
      <c r="B12" s="22"/>
      <c r="C12" s="22"/>
      <c r="D12" s="22"/>
      <c r="E12" s="10" t="n">
        <f aca="false">'Balance Sheet'!E20-'Balance Sheet'!D20</f>
        <v>84.3074383561652</v>
      </c>
      <c r="F12" s="10" t="n">
        <f aca="false">'Balance Sheet'!F20-'Balance Sheet'!E20</f>
        <v>97.2670964383551</v>
      </c>
      <c r="G12" s="10" t="n">
        <f aca="false">'Balance Sheet'!G20-'Balance Sheet'!F20</f>
        <v>132.73143031233</v>
      </c>
      <c r="H12" s="10" t="n">
        <f aca="false">'Balance Sheet'!H20-'Balance Sheet'!G20</f>
        <v>123.767154507616</v>
      </c>
      <c r="I12" s="10" t="n">
        <f aca="false">'Balance Sheet'!I20-'Balance Sheet'!H20</f>
        <v>154.4362928704</v>
      </c>
    </row>
    <row r="13" customFormat="false" ht="15" hidden="false" customHeight="false" outlineLevel="0" collapsed="false">
      <c r="A13" s="4" t="s">
        <v>158</v>
      </c>
      <c r="B13" s="22"/>
      <c r="C13" s="22"/>
      <c r="D13" s="22"/>
      <c r="E13" s="10" t="n">
        <f aca="false">'Balance Sheet'!E21-'Balance Sheet'!D21</f>
        <v>89.2336900000009</v>
      </c>
      <c r="F13" s="10" t="n">
        <f aca="false">'Balance Sheet'!F21-'Balance Sheet'!E21</f>
        <v>219.3321996</v>
      </c>
      <c r="G13" s="10" t="n">
        <f aca="false">'Balance Sheet'!G21-'Balance Sheet'!F21</f>
        <v>283.810529028</v>
      </c>
      <c r="H13" s="10" t="n">
        <f aca="false">'Balance Sheet'!H21-'Balance Sheet'!G21</f>
        <v>273.478219727521</v>
      </c>
      <c r="I13" s="10" t="n">
        <f aca="false">'Balance Sheet'!I21-'Balance Sheet'!H21</f>
        <v>266.103471841378</v>
      </c>
    </row>
    <row r="14" customFormat="false" ht="15" hidden="false" customHeight="false" outlineLevel="0" collapsed="false">
      <c r="A14" s="4" t="s">
        <v>159</v>
      </c>
      <c r="B14" s="47" t="n">
        <f aca="false">7429-B6-B7-B8</f>
        <v>129</v>
      </c>
      <c r="C14" s="47" t="n">
        <f aca="false">3698-C6-C7-C8</f>
        <v>-1005</v>
      </c>
      <c r="D14" s="47" t="n">
        <f aca="false">2868-D6-D7-D8</f>
        <v>-1702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</row>
    <row r="15" customFormat="false" ht="15" hidden="false" customHeight="false" outlineLevel="0" collapsed="false">
      <c r="A15" s="3" t="s">
        <v>160</v>
      </c>
      <c r="B15" s="35" t="n">
        <f aca="false">SUM(B6:B14)</f>
        <v>7429</v>
      </c>
      <c r="C15" s="35" t="n">
        <f aca="false">SUM(C6:C14)</f>
        <v>3698</v>
      </c>
      <c r="D15" s="35" t="n">
        <f aca="false">SUM(D6:D14)</f>
        <v>2868</v>
      </c>
      <c r="E15" s="36" t="n">
        <f aca="false">SUM(E6:E14)</f>
        <v>5308.81870790274</v>
      </c>
      <c r="F15" s="36" t="n">
        <f aca="false">SUM(F6:F14)</f>
        <v>5651.76603637377</v>
      </c>
      <c r="G15" s="36" t="n">
        <f aca="false">SUM(G6:G14)</f>
        <v>6291.20850642786</v>
      </c>
      <c r="H15" s="36" t="n">
        <f aca="false">SUM(H6:H14)</f>
        <v>6560.96877858743</v>
      </c>
      <c r="I15" s="36" t="n">
        <f aca="false">SUM(I6:I14)</f>
        <v>6796.4601261587</v>
      </c>
    </row>
    <row r="17" customFormat="false" ht="15" hidden="false" customHeight="false" outlineLevel="0" collapsed="false">
      <c r="A17" s="17" t="s">
        <v>161</v>
      </c>
      <c r="B17" s="18"/>
      <c r="C17" s="18"/>
      <c r="D17" s="18"/>
      <c r="E17" s="18"/>
      <c r="F17" s="18"/>
      <c r="G17" s="18"/>
      <c r="H17" s="18"/>
      <c r="I17" s="18"/>
    </row>
    <row r="18" customFormat="false" ht="15" hidden="false" customHeight="false" outlineLevel="0" collapsed="false">
      <c r="A18" s="4" t="s">
        <v>162</v>
      </c>
      <c r="B18" s="32" t="n">
        <v>-812</v>
      </c>
      <c r="C18" s="32" t="n">
        <v>-430</v>
      </c>
      <c r="D18" s="32" t="n">
        <v>-684</v>
      </c>
      <c r="E18" s="10" t="n">
        <f aca="false">-'Income Statement'!E5*Assumptions!E47</f>
        <v>-754.95984</v>
      </c>
      <c r="F18" s="10" t="n">
        <f aca="false">-'Income Statement'!F5*Assumptions!F47</f>
        <v>-781.7485056</v>
      </c>
      <c r="G18" s="10" t="n">
        <f aca="false">-'Income Statement'!G5*Assumptions!G47</f>
        <v>-816.412387008</v>
      </c>
      <c r="H18" s="10" t="n">
        <f aca="false">-'Income Statement'!H5*Assumptions!H47</f>
        <v>-849.81430697472</v>
      </c>
      <c r="I18" s="10" t="n">
        <f aca="false">-'Income Statement'!I5*Assumptions!I47</f>
        <v>-882.315494375194</v>
      </c>
    </row>
    <row r="19" customFormat="false" ht="15" hidden="false" customHeight="false" outlineLevel="0" collapsed="false">
      <c r="A19" s="4" t="s">
        <v>163</v>
      </c>
      <c r="B19" s="47" t="n">
        <f aca="false">894-B18</f>
        <v>1706</v>
      </c>
      <c r="C19" s="47" t="n">
        <f aca="false">-275-C18</f>
        <v>155</v>
      </c>
      <c r="D19" s="47" t="n">
        <f aca="false">-488-D18</f>
        <v>196</v>
      </c>
      <c r="E19" s="33" t="n">
        <v>0</v>
      </c>
      <c r="F19" s="33" t="n">
        <v>0</v>
      </c>
      <c r="G19" s="33" t="n">
        <v>0</v>
      </c>
      <c r="H19" s="33" t="n">
        <v>0</v>
      </c>
      <c r="I19" s="33" t="n">
        <v>0</v>
      </c>
    </row>
    <row r="20" customFormat="false" ht="15" hidden="false" customHeight="false" outlineLevel="0" collapsed="false">
      <c r="A20" s="3" t="s">
        <v>164</v>
      </c>
      <c r="B20" s="35" t="n">
        <f aca="false">B18+B19</f>
        <v>894</v>
      </c>
      <c r="C20" s="35" t="n">
        <f aca="false">C18+C19</f>
        <v>-275</v>
      </c>
      <c r="D20" s="35" t="n">
        <f aca="false">D18+D19</f>
        <v>-488</v>
      </c>
      <c r="E20" s="36" t="n">
        <f aca="false">E18+E19</f>
        <v>-754.95984</v>
      </c>
      <c r="F20" s="36" t="n">
        <f aca="false">F18+F19</f>
        <v>-781.7485056</v>
      </c>
      <c r="G20" s="36" t="n">
        <f aca="false">G18+G19</f>
        <v>-816.412387008</v>
      </c>
      <c r="H20" s="36" t="n">
        <f aca="false">H18+H19</f>
        <v>-849.81430697472</v>
      </c>
      <c r="I20" s="36" t="n">
        <f aca="false">I18+I19</f>
        <v>-882.315494375194</v>
      </c>
    </row>
    <row r="22" customFormat="false" ht="15" hidden="false" customHeight="false" outlineLevel="0" collapsed="false">
      <c r="A22" s="17" t="s">
        <v>165</v>
      </c>
      <c r="B22" s="18"/>
      <c r="C22" s="18"/>
      <c r="D22" s="18"/>
      <c r="E22" s="18"/>
      <c r="F22" s="18"/>
      <c r="G22" s="18"/>
      <c r="H22" s="18"/>
      <c r="I22" s="18"/>
    </row>
    <row r="23" customFormat="false" ht="15" hidden="false" customHeight="false" outlineLevel="0" collapsed="false">
      <c r="A23" s="4" t="s">
        <v>166</v>
      </c>
      <c r="B23" s="32" t="n">
        <v>0</v>
      </c>
      <c r="C23" s="32" t="n">
        <v>-1001</v>
      </c>
      <c r="D23" s="32" t="n">
        <v>0</v>
      </c>
      <c r="E23" s="10" t="n">
        <f aca="false">-Assumptions!E62</f>
        <v>-2000</v>
      </c>
      <c r="F23" s="10" t="n">
        <f aca="false">-Assumptions!F62</f>
        <v>-0</v>
      </c>
      <c r="G23" s="10" t="n">
        <f aca="false">-Assumptions!G62</f>
        <v>-0</v>
      </c>
      <c r="H23" s="10" t="n">
        <f aca="false">-Assumptions!H62</f>
        <v>-0</v>
      </c>
      <c r="I23" s="10" t="n">
        <f aca="false">-Assumptions!I62</f>
        <v>-0</v>
      </c>
    </row>
    <row r="24" customFormat="false" ht="15" hidden="false" customHeight="false" outlineLevel="0" collapsed="false">
      <c r="A24" s="4" t="s">
        <v>167</v>
      </c>
      <c r="B24" s="32" t="n">
        <v>-2169</v>
      </c>
      <c r="C24" s="32" t="n">
        <v>-2300</v>
      </c>
      <c r="D24" s="32" t="n">
        <v>-2407</v>
      </c>
      <c r="E24" s="10" t="n">
        <f aca="false">-'Income Statement'!E19*'Income Statement'!E17</f>
        <v>-2518.24858203916</v>
      </c>
      <c r="F24" s="10" t="n">
        <f aca="false">-'Income Statement'!F19*'Income Statement'!F17</f>
        <v>-2610.71330013504</v>
      </c>
      <c r="G24" s="10" t="n">
        <f aca="false">-'Income Statement'!G19*'Income Statement'!G17</f>
        <v>-2693.58597695814</v>
      </c>
      <c r="H24" s="10" t="n">
        <f aca="false">-'Income Statement'!H19*'Income Statement'!H17</f>
        <v>-2765.04910200456</v>
      </c>
      <c r="I24" s="10" t="n">
        <f aca="false">-'Income Statement'!I19*'Income Statement'!I17</f>
        <v>-2823.09603659415</v>
      </c>
    </row>
    <row r="25" customFormat="false" ht="15" hidden="false" customHeight="false" outlineLevel="0" collapsed="false">
      <c r="A25" s="4" t="s">
        <v>168</v>
      </c>
      <c r="B25" s="32" t="n">
        <v>-4250</v>
      </c>
      <c r="C25" s="32" t="n">
        <v>-2985</v>
      </c>
      <c r="D25" s="32" t="n">
        <v>-146</v>
      </c>
      <c r="E25" s="10" t="n">
        <f aca="false">-Assumptions!E64</f>
        <v>-1000</v>
      </c>
      <c r="F25" s="10" t="n">
        <f aca="false">-Assumptions!F64</f>
        <v>-2000</v>
      </c>
      <c r="G25" s="10" t="n">
        <f aca="false">-Assumptions!G64</f>
        <v>-2500</v>
      </c>
      <c r="H25" s="10" t="n">
        <f aca="false">-Assumptions!H64</f>
        <v>-3000</v>
      </c>
      <c r="I25" s="10" t="n">
        <f aca="false">-Assumptions!I64</f>
        <v>-3500</v>
      </c>
    </row>
    <row r="26" customFormat="false" ht="15" hidden="false" customHeight="false" outlineLevel="0" collapsed="false">
      <c r="A26" s="4" t="s">
        <v>169</v>
      </c>
      <c r="B26" s="47" t="n">
        <f aca="false">-5888-B23-B24-B25</f>
        <v>531</v>
      </c>
      <c r="C26" s="47" t="n">
        <f aca="false">-5820-C23-C24-C25</f>
        <v>466</v>
      </c>
      <c r="D26" s="47" t="n">
        <f aca="false">-2292-D23-D24-D25</f>
        <v>261</v>
      </c>
      <c r="E26" s="33" t="n">
        <v>0</v>
      </c>
      <c r="F26" s="33" t="n">
        <v>0</v>
      </c>
      <c r="G26" s="33" t="n">
        <v>0</v>
      </c>
      <c r="H26" s="33" t="n">
        <v>0</v>
      </c>
      <c r="I26" s="33" t="n">
        <v>0</v>
      </c>
    </row>
    <row r="27" customFormat="false" ht="15" hidden="false" customHeight="false" outlineLevel="0" collapsed="false">
      <c r="A27" s="3" t="s">
        <v>170</v>
      </c>
      <c r="B27" s="35" t="n">
        <f aca="false">SUM(B23:B26)</f>
        <v>-5888</v>
      </c>
      <c r="C27" s="35" t="n">
        <f aca="false">SUM(C23:C26)</f>
        <v>-5820</v>
      </c>
      <c r="D27" s="35" t="n">
        <f aca="false">SUM(D23:D26)</f>
        <v>-2292</v>
      </c>
      <c r="E27" s="36" t="n">
        <f aca="false">SUM(E23:E26)</f>
        <v>-5518.24858203916</v>
      </c>
      <c r="F27" s="36" t="n">
        <f aca="false">SUM(F23:F26)</f>
        <v>-4610.71330013504</v>
      </c>
      <c r="G27" s="36" t="n">
        <f aca="false">SUM(G23:G26)</f>
        <v>-5193.58597695814</v>
      </c>
      <c r="H27" s="36" t="n">
        <f aca="false">SUM(H23:H26)</f>
        <v>-5765.04910200456</v>
      </c>
      <c r="I27" s="36" t="n">
        <f aca="false">SUM(I23:I26)</f>
        <v>-6323.09603659415</v>
      </c>
    </row>
    <row r="29" customFormat="false" ht="15" hidden="false" customHeight="false" outlineLevel="0" collapsed="false">
      <c r="A29" s="4" t="s">
        <v>171</v>
      </c>
      <c r="B29" s="32" t="n">
        <v>-16</v>
      </c>
      <c r="C29" s="32" t="n">
        <v>1</v>
      </c>
      <c r="D29" s="32" t="n">
        <v>11</v>
      </c>
      <c r="E29" s="33" t="n">
        <v>0</v>
      </c>
      <c r="F29" s="33" t="n">
        <v>0</v>
      </c>
      <c r="G29" s="33" t="n">
        <v>0</v>
      </c>
      <c r="H29" s="33" t="n">
        <v>0</v>
      </c>
      <c r="I29" s="33" t="n">
        <v>0</v>
      </c>
    </row>
    <row r="30" customFormat="false" ht="15" hidden="false" customHeight="false" outlineLevel="0" collapsed="false">
      <c r="A30" s="3" t="s">
        <v>172</v>
      </c>
      <c r="B30" s="35" t="n">
        <f aca="false">B15+B20+B27+B29</f>
        <v>2419</v>
      </c>
      <c r="C30" s="35" t="n">
        <f aca="false">C15+C20+C27+C29</f>
        <v>-2396</v>
      </c>
      <c r="D30" s="35" t="n">
        <f aca="false">D15+D20+D27+D29</f>
        <v>99</v>
      </c>
      <c r="E30" s="36" t="n">
        <f aca="false">E15+E20+E27+E29</f>
        <v>-964.389714136426</v>
      </c>
      <c r="F30" s="36" t="n">
        <f aca="false">F15+F20+F27+F29</f>
        <v>259.304230638728</v>
      </c>
      <c r="G30" s="36" t="n">
        <f aca="false">G15+G20+G27+G29</f>
        <v>281.210142461728</v>
      </c>
      <c r="H30" s="36" t="n">
        <f aca="false">H15+H20+H27+H29</f>
        <v>-53.8946303918456</v>
      </c>
      <c r="I30" s="36" t="n">
        <f aca="false">I15+I20+I27+I29</f>
        <v>-408.951404810645</v>
      </c>
    </row>
    <row r="31" customFormat="false" ht="15" hidden="false" customHeight="false" outlineLevel="0" collapsed="false">
      <c r="A31" s="4" t="s">
        <v>173</v>
      </c>
      <c r="B31" s="32" t="n">
        <v>7441</v>
      </c>
      <c r="C31" s="32" t="n">
        <v>9860</v>
      </c>
      <c r="D31" s="32" t="n">
        <v>7464</v>
      </c>
      <c r="E31" s="33" t="n">
        <f aca="false">D32</f>
        <v>7563</v>
      </c>
      <c r="F31" s="33" t="n">
        <f aca="false">E32</f>
        <v>6598.61028586357</v>
      </c>
      <c r="G31" s="33" t="n">
        <f aca="false">F32</f>
        <v>6857.9145165023</v>
      </c>
      <c r="H31" s="33" t="n">
        <f aca="false">G32</f>
        <v>7139.12465896403</v>
      </c>
      <c r="I31" s="33" t="n">
        <f aca="false">H32</f>
        <v>7085.23002857218</v>
      </c>
    </row>
    <row r="32" customFormat="false" ht="15" hidden="false" customHeight="false" outlineLevel="0" collapsed="false">
      <c r="A32" s="3" t="s">
        <v>174</v>
      </c>
      <c r="B32" s="39" t="n">
        <f aca="false">B31+B30</f>
        <v>9860</v>
      </c>
      <c r="C32" s="39" t="n">
        <f aca="false">C31+C30</f>
        <v>7464</v>
      </c>
      <c r="D32" s="39" t="n">
        <f aca="false">D31+D30</f>
        <v>7563</v>
      </c>
      <c r="E32" s="40" t="n">
        <f aca="false">E31+E30</f>
        <v>6598.61028586357</v>
      </c>
      <c r="F32" s="40" t="n">
        <f aca="false">F31+F30</f>
        <v>6857.9145165023</v>
      </c>
      <c r="G32" s="40" t="n">
        <f aca="false">G31+G30</f>
        <v>7139.12465896403</v>
      </c>
      <c r="H32" s="40" t="n">
        <f aca="false">H31+H30</f>
        <v>7085.23002857218</v>
      </c>
      <c r="I32" s="40" t="n">
        <f aca="false">I31+I30</f>
        <v>6676.27862376154</v>
      </c>
    </row>
    <row r="34" customFormat="false" ht="15" hidden="false" customHeight="false" outlineLevel="0" collapsed="false">
      <c r="A34" s="17" t="s">
        <v>49</v>
      </c>
      <c r="B34" s="18"/>
      <c r="C34" s="18"/>
      <c r="D34" s="18"/>
      <c r="E34" s="18"/>
      <c r="F34" s="18"/>
      <c r="G34" s="18"/>
      <c r="H34" s="18"/>
      <c r="I34" s="18"/>
    </row>
    <row r="35" customFormat="false" ht="15" hidden="false" customHeight="false" outlineLevel="0" collapsed="false">
      <c r="A35" s="3" t="s">
        <v>175</v>
      </c>
      <c r="B35" s="48" t="n">
        <f aca="false">B15+B18</f>
        <v>6617</v>
      </c>
      <c r="C35" s="48" t="n">
        <f aca="false">C15+C18</f>
        <v>3268</v>
      </c>
      <c r="D35" s="48" t="n">
        <f aca="false">D15+D18</f>
        <v>2184</v>
      </c>
      <c r="E35" s="49" t="n">
        <f aca="false">E15+E18</f>
        <v>4553.85886790274</v>
      </c>
      <c r="F35" s="49" t="n">
        <f aca="false">F15+F18</f>
        <v>4870.01753077377</v>
      </c>
      <c r="G35" s="49" t="n">
        <f aca="false">G15+G18</f>
        <v>5474.79611941986</v>
      </c>
      <c r="H35" s="49" t="n">
        <f aca="false">H15+H18</f>
        <v>5711.15447161271</v>
      </c>
      <c r="I35" s="49" t="n">
        <f aca="false">I15+I18</f>
        <v>5914.14463178351</v>
      </c>
    </row>
    <row r="36" customFormat="false" ht="15" hidden="false" customHeight="false" outlineLevel="0" collapsed="false">
      <c r="A36" s="4" t="s">
        <v>50</v>
      </c>
      <c r="B36" s="47" t="n">
        <f aca="false">-B24-B25</f>
        <v>6419</v>
      </c>
      <c r="C36" s="47" t="n">
        <f aca="false">-C24-C25</f>
        <v>5285</v>
      </c>
      <c r="D36" s="47" t="n">
        <f aca="false">-D24-D25</f>
        <v>2553</v>
      </c>
      <c r="E36" s="33" t="n">
        <f aca="false">-E24-E25</f>
        <v>3518.24858203916</v>
      </c>
      <c r="F36" s="33" t="n">
        <f aca="false">-F24-F25</f>
        <v>4610.71330013504</v>
      </c>
      <c r="G36" s="33" t="n">
        <f aca="false">-G24-G25</f>
        <v>5193.58597695814</v>
      </c>
      <c r="H36" s="33" t="n">
        <f aca="false">-H24-H25</f>
        <v>5765.04910200456</v>
      </c>
      <c r="I36" s="33" t="n">
        <f aca="false">-I24-I25</f>
        <v>6323.09603659415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6" t="s">
        <v>176</v>
      </c>
    </row>
    <row r="2" customFormat="false" ht="15" hidden="false" customHeight="false" outlineLevel="0" collapsed="false">
      <c r="A2" s="2" t="s">
        <v>177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</row>
    <row r="5" customFormat="false" ht="15" hidden="false" customHeight="false" outlineLevel="0" collapsed="false">
      <c r="A5" s="17" t="s">
        <v>178</v>
      </c>
      <c r="B5" s="18"/>
      <c r="C5" s="18"/>
      <c r="D5" s="18"/>
      <c r="E5" s="18"/>
      <c r="F5" s="18"/>
      <c r="G5" s="18"/>
      <c r="H5" s="18"/>
      <c r="I5" s="18"/>
    </row>
    <row r="6" customFormat="false" ht="15" hidden="false" customHeight="false" outlineLevel="0" collapsed="false">
      <c r="A6" s="4" t="s">
        <v>56</v>
      </c>
      <c r="B6" s="22"/>
      <c r="C6" s="9" t="n">
        <f aca="false">'Revenue Build'!C6</f>
        <v>19572</v>
      </c>
      <c r="D6" s="9" t="n">
        <f aca="false">'Revenue Build'!D6</f>
        <v>20511</v>
      </c>
      <c r="E6" s="33" t="n">
        <f aca="false">D6*(1+Assumptions!E16)</f>
        <v>21331.44</v>
      </c>
      <c r="F6" s="33" t="n">
        <f aca="false">E6*(1+Assumptions!F16)</f>
        <v>22398.012</v>
      </c>
      <c r="G6" s="33" t="n">
        <f aca="false">F6*(1+Assumptions!G16)</f>
        <v>23517.9126</v>
      </c>
      <c r="H6" s="33" t="n">
        <f aca="false">G6*(1+Assumptions!H16)</f>
        <v>24458.629104</v>
      </c>
      <c r="I6" s="33" t="n">
        <f aca="false">H6*(1+Assumptions!I16)</f>
        <v>25436.97426816</v>
      </c>
    </row>
    <row r="7" customFormat="false" ht="15" hidden="false" customHeight="false" outlineLevel="0" collapsed="false">
      <c r="A7" s="4" t="s">
        <v>57</v>
      </c>
      <c r="B7" s="22"/>
      <c r="C7" s="9" t="n">
        <f aca="false">'Revenue Build'!C7</f>
        <v>12257</v>
      </c>
      <c r="D7" s="9" t="n">
        <f aca="false">'Revenue Build'!D7</f>
        <v>12572</v>
      </c>
      <c r="E7" s="33" t="n">
        <f aca="false">D7*(1+Assumptions!E17)</f>
        <v>12823.44</v>
      </c>
      <c r="F7" s="33" t="n">
        <f aca="false">E7*(1+Assumptions!F17)</f>
        <v>13208.1432</v>
      </c>
      <c r="G7" s="33" t="n">
        <f aca="false">F7*(1+Assumptions!G17)</f>
        <v>13736.468928</v>
      </c>
      <c r="H7" s="33" t="n">
        <f aca="false">G7*(1+Assumptions!H17)</f>
        <v>14285.92768512</v>
      </c>
      <c r="I7" s="33" t="n">
        <f aca="false">H7*(1+Assumptions!I17)</f>
        <v>14714.5055156736</v>
      </c>
    </row>
    <row r="8" customFormat="false" ht="15" hidden="false" customHeight="false" outlineLevel="0" collapsed="false">
      <c r="A8" s="4" t="s">
        <v>58</v>
      </c>
      <c r="B8" s="22"/>
      <c r="C8" s="9" t="n">
        <f aca="false">'Revenue Build'!C8</f>
        <v>6586</v>
      </c>
      <c r="D8" s="9" t="n">
        <f aca="false">'Revenue Build'!D8</f>
        <v>5847</v>
      </c>
      <c r="E8" s="33" t="n">
        <f aca="false">D8*(1+Assumptions!E18)</f>
        <v>5554.65</v>
      </c>
      <c r="F8" s="33" t="n">
        <f aca="false">E8*(1+Assumptions!F18)</f>
        <v>5554.65</v>
      </c>
      <c r="G8" s="33" t="n">
        <f aca="false">F8*(1+Assumptions!G18)</f>
        <v>5721.2895</v>
      </c>
      <c r="H8" s="33" t="n">
        <f aca="false">G8*(1+Assumptions!H18)</f>
        <v>5950.14108</v>
      </c>
      <c r="I8" s="33" t="n">
        <f aca="false">H8*(1+Assumptions!I18)</f>
        <v>6188.1467232</v>
      </c>
    </row>
    <row r="9" customFormat="false" ht="15" hidden="false" customHeight="false" outlineLevel="0" collapsed="false">
      <c r="A9" s="4" t="s">
        <v>59</v>
      </c>
      <c r="B9" s="22"/>
      <c r="C9" s="9" t="n">
        <f aca="false">'Revenue Build'!C9</f>
        <v>6251</v>
      </c>
      <c r="D9" s="9" t="n">
        <f aca="false">'Revenue Build'!D9</f>
        <v>6243</v>
      </c>
      <c r="E9" s="33" t="n">
        <f aca="false">D9*(1+Assumptions!E19)</f>
        <v>6367.86</v>
      </c>
      <c r="F9" s="33" t="n">
        <f aca="false">E9*(1+Assumptions!F19)</f>
        <v>6622.5744</v>
      </c>
      <c r="G9" s="33" t="n">
        <f aca="false">F9*(1+Assumptions!G19)</f>
        <v>6953.70312</v>
      </c>
      <c r="H9" s="33" t="n">
        <f aca="false">G9*(1+Assumptions!H19)</f>
        <v>7301.388276</v>
      </c>
      <c r="I9" s="33" t="n">
        <f aca="false">H9*(1+Assumptions!I19)</f>
        <v>7666.4576898</v>
      </c>
    </row>
    <row r="10" customFormat="false" ht="15" hidden="false" customHeight="false" outlineLevel="0" collapsed="false">
      <c r="A10" s="4" t="s">
        <v>60</v>
      </c>
      <c r="B10" s="22"/>
      <c r="C10" s="9" t="n">
        <f aca="false">'Revenue Build'!C10</f>
        <v>1692</v>
      </c>
      <c r="D10" s="9" t="n">
        <f aca="false">'Revenue Build'!D10</f>
        <v>1174</v>
      </c>
      <c r="E10" s="33" t="n">
        <f aca="false">D10*(1+Assumptions!E20)</f>
        <v>1056.6</v>
      </c>
      <c r="F10" s="33" t="n">
        <f aca="false">E10*(1+Assumptions!F20)</f>
        <v>1024.902</v>
      </c>
      <c r="G10" s="33" t="n">
        <f aca="false">F10*(1+Assumptions!G20)</f>
        <v>1045.40004</v>
      </c>
      <c r="H10" s="33" t="n">
        <f aca="false">G10*(1+Assumptions!H20)</f>
        <v>1066.3080408</v>
      </c>
      <c r="I10" s="33" t="n">
        <f aca="false">H10*(1+Assumptions!I20)</f>
        <v>1087.634201616</v>
      </c>
    </row>
    <row r="11" customFormat="false" ht="15" hidden="false" customHeight="false" outlineLevel="0" collapsed="false">
      <c r="A11" s="3" t="s">
        <v>95</v>
      </c>
      <c r="B11" s="50"/>
      <c r="C11" s="50"/>
      <c r="D11" s="50" t="n">
        <f aca="false">'Revenue Build'!D12</f>
        <v>46398</v>
      </c>
      <c r="E11" s="36" t="n">
        <f aca="false">SUM(E6:E10)+Assumptions!E36</f>
        <v>47184.99</v>
      </c>
      <c r="F11" s="36" t="n">
        <f aca="false">SUM(F6:F10)+Assumptions!F36</f>
        <v>48859.2816</v>
      </c>
      <c r="G11" s="36" t="n">
        <f aca="false">SUM(G6:G10)+Assumptions!G36</f>
        <v>51025.774188</v>
      </c>
      <c r="H11" s="36" t="n">
        <f aca="false">SUM(H6:H10)+Assumptions!H36</f>
        <v>53113.39418592</v>
      </c>
      <c r="I11" s="36" t="n">
        <f aca="false">SUM(I6:I10)+Assumptions!I36</f>
        <v>55144.7183984496</v>
      </c>
      <c r="K11" s="51" t="s">
        <v>178</v>
      </c>
    </row>
    <row r="12" customFormat="false" ht="15" hidden="false" customHeight="false" outlineLevel="0" collapsed="false">
      <c r="A12" s="3" t="s">
        <v>44</v>
      </c>
      <c r="B12" s="22"/>
      <c r="C12" s="22"/>
      <c r="D12" s="22" t="n">
        <f aca="false">'Income Statement'!D10</f>
        <v>3797</v>
      </c>
      <c r="E12" s="49" t="n">
        <f aca="false">E11*(Assumptions!E39-Assumptions!E43-Assumptions!E44)</f>
        <v>4105.09413</v>
      </c>
      <c r="F12" s="49" t="n">
        <f aca="false">F11*(Assumptions!F39-Assumptions!F43-Assumptions!F44)</f>
        <v>4739.3503152</v>
      </c>
      <c r="G12" s="49" t="n">
        <f aca="false">G11*(Assumptions!G39-Assumptions!G43-Assumptions!G44)</f>
        <v>5459.757838116</v>
      </c>
      <c r="H12" s="49" t="n">
        <f aca="false">H11*(Assumptions!H39-Assumptions!H43-Assumptions!H44)</f>
        <v>6108.0403313808</v>
      </c>
      <c r="I12" s="49" t="n">
        <f aca="false">I11*(Assumptions!I39-Assumptions!I43-Assumptions!I44)</f>
        <v>6451.9320526186</v>
      </c>
    </row>
    <row r="13" customFormat="false" ht="15" hidden="false" customHeight="false" outlineLevel="0" collapsed="false">
      <c r="A13" s="4" t="s">
        <v>45</v>
      </c>
      <c r="B13" s="19"/>
      <c r="C13" s="19"/>
      <c r="D13" s="19" t="n">
        <f aca="false">D12/D11</f>
        <v>0.0818354239406871</v>
      </c>
      <c r="E13" s="37" t="n">
        <f aca="false">E12/E11</f>
        <v>0.087</v>
      </c>
      <c r="F13" s="37" t="n">
        <f aca="false">F12/F11</f>
        <v>0.097</v>
      </c>
      <c r="G13" s="37" t="n">
        <f aca="false">G12/G11</f>
        <v>0.107</v>
      </c>
      <c r="H13" s="37" t="n">
        <f aca="false">H12/H11</f>
        <v>0.115</v>
      </c>
      <c r="I13" s="37" t="n">
        <f aca="false">I12/I11</f>
        <v>0.117</v>
      </c>
    </row>
    <row r="15" customFormat="false" ht="15" hidden="false" customHeight="false" outlineLevel="0" collapsed="false">
      <c r="A15" s="17" t="s">
        <v>179</v>
      </c>
      <c r="B15" s="18"/>
      <c r="C15" s="18"/>
      <c r="D15" s="18"/>
      <c r="E15" s="18"/>
      <c r="F15" s="18"/>
      <c r="G15" s="18"/>
      <c r="H15" s="18"/>
      <c r="I15" s="18"/>
    </row>
    <row r="16" customFormat="false" ht="15" hidden="false" customHeight="false" outlineLevel="0" collapsed="false">
      <c r="A16" s="4" t="s">
        <v>56</v>
      </c>
      <c r="B16" s="22"/>
      <c r="C16" s="9" t="n">
        <f aca="false">'Revenue Build'!C6</f>
        <v>19572</v>
      </c>
      <c r="D16" s="9" t="n">
        <f aca="false">'Revenue Build'!D6</f>
        <v>20511</v>
      </c>
      <c r="E16" s="33" t="n">
        <f aca="false">D16*(1+Assumptions!E23)</f>
        <v>21741.66</v>
      </c>
      <c r="F16" s="33" t="n">
        <f aca="false">E16*(1+Assumptions!F23)</f>
        <v>23263.5762</v>
      </c>
      <c r="G16" s="33" t="n">
        <f aca="false">F16*(1+Assumptions!G23)</f>
        <v>24892.026534</v>
      </c>
      <c r="H16" s="33" t="n">
        <f aca="false">G16*(1+Assumptions!H23)</f>
        <v>26385.54812604</v>
      </c>
      <c r="I16" s="33" t="n">
        <f aca="false">H16*(1+Assumptions!I23)</f>
        <v>27704.825532342</v>
      </c>
    </row>
    <row r="17" customFormat="false" ht="15" hidden="false" customHeight="false" outlineLevel="0" collapsed="false">
      <c r="A17" s="4" t="s">
        <v>57</v>
      </c>
      <c r="B17" s="22"/>
      <c r="C17" s="9" t="n">
        <f aca="false">'Revenue Build'!C7</f>
        <v>12257</v>
      </c>
      <c r="D17" s="9" t="n">
        <f aca="false">'Revenue Build'!D7</f>
        <v>12572</v>
      </c>
      <c r="E17" s="33" t="n">
        <f aca="false">D17*(1+Assumptions!E24)</f>
        <v>13074.88</v>
      </c>
      <c r="F17" s="33" t="n">
        <f aca="false">E17*(1+Assumptions!F24)</f>
        <v>13728.624</v>
      </c>
      <c r="G17" s="33" t="n">
        <f aca="false">F17*(1+Assumptions!G24)</f>
        <v>14552.34144</v>
      </c>
      <c r="H17" s="33" t="n">
        <f aca="false">G17*(1+Assumptions!H24)</f>
        <v>15279.958512</v>
      </c>
      <c r="I17" s="33" t="n">
        <f aca="false">H17*(1+Assumptions!I24)</f>
        <v>15891.15685248</v>
      </c>
    </row>
    <row r="18" customFormat="false" ht="15" hidden="false" customHeight="false" outlineLevel="0" collapsed="false">
      <c r="A18" s="4" t="s">
        <v>58</v>
      </c>
      <c r="B18" s="22"/>
      <c r="C18" s="9" t="n">
        <f aca="false">'Revenue Build'!C8</f>
        <v>6586</v>
      </c>
      <c r="D18" s="9" t="n">
        <f aca="false">'Revenue Build'!D8</f>
        <v>5847</v>
      </c>
      <c r="E18" s="33" t="n">
        <f aca="false">D18*(1+Assumptions!E25)</f>
        <v>5847</v>
      </c>
      <c r="F18" s="33" t="n">
        <f aca="false">E18*(1+Assumptions!F25)</f>
        <v>6139.35</v>
      </c>
      <c r="G18" s="33" t="n">
        <f aca="false">F18*(1+Assumptions!G25)</f>
        <v>6507.711</v>
      </c>
      <c r="H18" s="33" t="n">
        <f aca="false">G18*(1+Assumptions!H25)</f>
        <v>6898.17366</v>
      </c>
      <c r="I18" s="33" t="n">
        <f aca="false">H18*(1+Assumptions!I25)</f>
        <v>7243.082343</v>
      </c>
    </row>
    <row r="19" customFormat="false" ht="15" hidden="false" customHeight="false" outlineLevel="0" collapsed="false">
      <c r="A19" s="4" t="s">
        <v>59</v>
      </c>
      <c r="B19" s="22"/>
      <c r="C19" s="9" t="n">
        <f aca="false">'Revenue Build'!C9</f>
        <v>6251</v>
      </c>
      <c r="D19" s="9" t="n">
        <f aca="false">'Revenue Build'!D9</f>
        <v>6243</v>
      </c>
      <c r="E19" s="33" t="n">
        <f aca="false">D19*(1+Assumptions!E26)</f>
        <v>6492.72</v>
      </c>
      <c r="F19" s="33" t="n">
        <f aca="false">E19*(1+Assumptions!F26)</f>
        <v>6882.2832</v>
      </c>
      <c r="G19" s="33" t="n">
        <f aca="false">F19*(1+Assumptions!G26)</f>
        <v>7364.043024</v>
      </c>
      <c r="H19" s="33" t="n">
        <f aca="false">G19*(1+Assumptions!H26)</f>
        <v>7879.52603568</v>
      </c>
      <c r="I19" s="33" t="n">
        <f aca="false">H19*(1+Assumptions!I26)</f>
        <v>8352.2975978208</v>
      </c>
    </row>
    <row r="20" customFormat="false" ht="15" hidden="false" customHeight="false" outlineLevel="0" collapsed="false">
      <c r="A20" s="4" t="s">
        <v>60</v>
      </c>
      <c r="B20" s="22"/>
      <c r="C20" s="9" t="n">
        <f aca="false">'Revenue Build'!C10</f>
        <v>1692</v>
      </c>
      <c r="D20" s="9" t="n">
        <f aca="false">'Revenue Build'!D10</f>
        <v>1174</v>
      </c>
      <c r="E20" s="33" t="n">
        <f aca="false">D20*(1+Assumptions!E27)</f>
        <v>1115.3</v>
      </c>
      <c r="F20" s="33" t="n">
        <f aca="false">E20*(1+Assumptions!F27)</f>
        <v>1137.606</v>
      </c>
      <c r="G20" s="33" t="n">
        <f aca="false">F20*(1+Assumptions!G27)</f>
        <v>1183.11024</v>
      </c>
      <c r="H20" s="33" t="n">
        <f aca="false">G20*(1+Assumptions!H27)</f>
        <v>1230.4346496</v>
      </c>
      <c r="I20" s="33" t="n">
        <f aca="false">H20*(1+Assumptions!I27)</f>
        <v>1267.347689088</v>
      </c>
    </row>
    <row r="21" customFormat="false" ht="15" hidden="false" customHeight="false" outlineLevel="0" collapsed="false">
      <c r="A21" s="3" t="s">
        <v>95</v>
      </c>
      <c r="B21" s="50"/>
      <c r="C21" s="50"/>
      <c r="D21" s="50" t="n">
        <f aca="false">'Revenue Build'!D12</f>
        <v>46398</v>
      </c>
      <c r="E21" s="36" t="n">
        <f aca="false">SUM(E16:E20)+Assumptions!E36</f>
        <v>48322.56</v>
      </c>
      <c r="F21" s="36" t="n">
        <f aca="false">SUM(F16:F20)+Assumptions!F36</f>
        <v>51202.4394</v>
      </c>
      <c r="G21" s="36" t="n">
        <f aca="false">SUM(G16:G20)+Assumptions!G36</f>
        <v>54550.232238</v>
      </c>
      <c r="H21" s="36" t="n">
        <f aca="false">SUM(H16:H20)+Assumptions!H36</f>
        <v>57724.64098332</v>
      </c>
      <c r="I21" s="36" t="n">
        <f aca="false">SUM(I16:I20)+Assumptions!I36</f>
        <v>60509.7100147308</v>
      </c>
      <c r="K21" s="51" t="s">
        <v>179</v>
      </c>
    </row>
    <row r="22" customFormat="false" ht="15" hidden="false" customHeight="false" outlineLevel="0" collapsed="false">
      <c r="A22" s="3" t="s">
        <v>44</v>
      </c>
      <c r="B22" s="22"/>
      <c r="C22" s="22"/>
      <c r="D22" s="22" t="n">
        <f aca="false">'Income Statement'!D10</f>
        <v>3797</v>
      </c>
      <c r="E22" s="49" t="n">
        <f aca="false">E21*(Assumptions!E40-Assumptions!E43-Assumptions!E44)</f>
        <v>4445.67552</v>
      </c>
      <c r="F22" s="49" t="n">
        <f aca="false">F21*(Assumptions!F40-Assumptions!F43-Assumptions!F44)</f>
        <v>5478.6610158</v>
      </c>
      <c r="G22" s="49" t="n">
        <f aca="false">G21*(Assumptions!G40-Assumptions!G43-Assumptions!G44)</f>
        <v>6655.128333036</v>
      </c>
      <c r="H22" s="49" t="n">
        <f aca="false">H21*(Assumptions!H40-Assumptions!H43-Assumptions!H44)</f>
        <v>7504.2033278316</v>
      </c>
      <c r="I22" s="49" t="n">
        <f aca="false">I21*(Assumptions!I40-Assumptions!I43-Assumptions!I44)</f>
        <v>7987.28172194447</v>
      </c>
    </row>
    <row r="23" customFormat="false" ht="15" hidden="false" customHeight="false" outlineLevel="0" collapsed="false">
      <c r="A23" s="4" t="s">
        <v>45</v>
      </c>
      <c r="B23" s="19"/>
      <c r="C23" s="19"/>
      <c r="D23" s="19" t="n">
        <f aca="false">D22/D21</f>
        <v>0.0818354239406871</v>
      </c>
      <c r="E23" s="37" t="n">
        <f aca="false">E22/E21</f>
        <v>0.092</v>
      </c>
      <c r="F23" s="37" t="n">
        <f aca="false">F22/F21</f>
        <v>0.107</v>
      </c>
      <c r="G23" s="37" t="n">
        <f aca="false">G22/G21</f>
        <v>0.122</v>
      </c>
      <c r="H23" s="37" t="n">
        <f aca="false">H22/H21</f>
        <v>0.13</v>
      </c>
      <c r="I23" s="37" t="n">
        <f aca="false">I22/I21</f>
        <v>0.132</v>
      </c>
    </row>
    <row r="25" customFormat="false" ht="15" hidden="false" customHeight="false" outlineLevel="0" collapsed="false">
      <c r="A25" s="17" t="s">
        <v>180</v>
      </c>
      <c r="B25" s="18"/>
      <c r="C25" s="18"/>
      <c r="D25" s="18"/>
      <c r="E25" s="18"/>
      <c r="F25" s="18"/>
      <c r="G25" s="18"/>
      <c r="H25" s="18"/>
      <c r="I25" s="18"/>
    </row>
    <row r="26" customFormat="false" ht="15" hidden="false" customHeight="false" outlineLevel="0" collapsed="false">
      <c r="A26" s="4" t="s">
        <v>56</v>
      </c>
      <c r="B26" s="22"/>
      <c r="C26" s="9" t="n">
        <f aca="false">'Revenue Build'!C6</f>
        <v>19572</v>
      </c>
      <c r="D26" s="9" t="n">
        <f aca="false">'Revenue Build'!D6</f>
        <v>20511</v>
      </c>
      <c r="E26" s="33" t="n">
        <f aca="false">D26*(1+Assumptions!E30)</f>
        <v>20716.11</v>
      </c>
      <c r="F26" s="33" t="n">
        <f aca="false">E26*(1+Assumptions!F30)</f>
        <v>21130.4322</v>
      </c>
      <c r="G26" s="33" t="n">
        <f aca="false">F26*(1+Assumptions!G30)</f>
        <v>21553.040844</v>
      </c>
      <c r="H26" s="33" t="n">
        <f aca="false">G26*(1+Assumptions!H30)</f>
        <v>21984.10166088</v>
      </c>
      <c r="I26" s="33" t="n">
        <f aca="false">H26*(1+Assumptions!I30)</f>
        <v>22423.7836940976</v>
      </c>
    </row>
    <row r="27" customFormat="false" ht="15" hidden="false" customHeight="false" outlineLevel="0" collapsed="false">
      <c r="A27" s="4" t="s">
        <v>57</v>
      </c>
      <c r="B27" s="22"/>
      <c r="C27" s="9" t="n">
        <f aca="false">'Revenue Build'!C7</f>
        <v>12257</v>
      </c>
      <c r="D27" s="9" t="n">
        <f aca="false">'Revenue Build'!D7</f>
        <v>12572</v>
      </c>
      <c r="E27" s="33" t="n">
        <f aca="false">D27*(1+Assumptions!E31)</f>
        <v>12320.56</v>
      </c>
      <c r="F27" s="33" t="n">
        <f aca="false">E27*(1+Assumptions!F31)</f>
        <v>12320.56</v>
      </c>
      <c r="G27" s="33" t="n">
        <f aca="false">F27*(1+Assumptions!G31)</f>
        <v>12443.7656</v>
      </c>
      <c r="H27" s="33" t="n">
        <f aca="false">G27*(1+Assumptions!H31)</f>
        <v>12692.640912</v>
      </c>
      <c r="I27" s="33" t="n">
        <f aca="false">H27*(1+Assumptions!I31)</f>
        <v>12946.49373024</v>
      </c>
    </row>
    <row r="28" customFormat="false" ht="15" hidden="false" customHeight="false" outlineLevel="0" collapsed="false">
      <c r="A28" s="4" t="s">
        <v>58</v>
      </c>
      <c r="B28" s="22"/>
      <c r="C28" s="9" t="n">
        <f aca="false">'Revenue Build'!C8</f>
        <v>6586</v>
      </c>
      <c r="D28" s="9" t="n">
        <f aca="false">'Revenue Build'!D8</f>
        <v>5847</v>
      </c>
      <c r="E28" s="33" t="n">
        <f aca="false">D28*(1+Assumptions!E32)</f>
        <v>5145.36</v>
      </c>
      <c r="F28" s="33" t="n">
        <f aca="false">E28*(1+Assumptions!F32)</f>
        <v>4836.6384</v>
      </c>
      <c r="G28" s="33" t="n">
        <f aca="false">F28*(1+Assumptions!G32)</f>
        <v>4739.905632</v>
      </c>
      <c r="H28" s="33" t="n">
        <f aca="false">G28*(1+Assumptions!H32)</f>
        <v>4739.905632</v>
      </c>
      <c r="I28" s="33" t="n">
        <f aca="false">H28*(1+Assumptions!I32)</f>
        <v>4787.30468832</v>
      </c>
    </row>
    <row r="29" customFormat="false" ht="15" hidden="false" customHeight="false" outlineLevel="0" collapsed="false">
      <c r="A29" s="4" t="s">
        <v>59</v>
      </c>
      <c r="B29" s="22"/>
      <c r="C29" s="9" t="n">
        <f aca="false">'Revenue Build'!C9</f>
        <v>6251</v>
      </c>
      <c r="D29" s="9" t="n">
        <f aca="false">'Revenue Build'!D9</f>
        <v>6243</v>
      </c>
      <c r="E29" s="33" t="n">
        <f aca="false">D29*(1+Assumptions!E33)</f>
        <v>6180.57</v>
      </c>
      <c r="F29" s="33" t="n">
        <f aca="false">E29*(1+Assumptions!F33)</f>
        <v>6242.3757</v>
      </c>
      <c r="G29" s="33" t="n">
        <f aca="false">F29*(1+Assumptions!G33)</f>
        <v>6367.223214</v>
      </c>
      <c r="H29" s="33" t="n">
        <f aca="false">G29*(1+Assumptions!H33)</f>
        <v>6558.23991042</v>
      </c>
      <c r="I29" s="33" t="n">
        <f aca="false">H29*(1+Assumptions!I33)</f>
        <v>6754.9871077326</v>
      </c>
    </row>
    <row r="30" customFormat="false" ht="15" hidden="false" customHeight="false" outlineLevel="0" collapsed="false">
      <c r="A30" s="4" t="s">
        <v>60</v>
      </c>
      <c r="B30" s="22"/>
      <c r="C30" s="9" t="n">
        <f aca="false">'Revenue Build'!C10</f>
        <v>1692</v>
      </c>
      <c r="D30" s="9" t="n">
        <f aca="false">'Revenue Build'!D10</f>
        <v>1174</v>
      </c>
      <c r="E30" s="33" t="n">
        <f aca="false">D30*(1+Assumptions!E34)</f>
        <v>962.68</v>
      </c>
      <c r="F30" s="33" t="n">
        <f aca="false">E30*(1+Assumptions!F34)</f>
        <v>885.6656</v>
      </c>
      <c r="G30" s="33" t="n">
        <f aca="false">F30*(1+Assumptions!G34)</f>
        <v>859.095632</v>
      </c>
      <c r="H30" s="33" t="n">
        <f aca="false">G30*(1+Assumptions!H34)</f>
        <v>859.095632</v>
      </c>
      <c r="I30" s="33" t="n">
        <f aca="false">H30*(1+Assumptions!I34)</f>
        <v>859.095632</v>
      </c>
    </row>
    <row r="31" customFormat="false" ht="15" hidden="false" customHeight="false" outlineLevel="0" collapsed="false">
      <c r="A31" s="3" t="s">
        <v>95</v>
      </c>
      <c r="B31" s="50"/>
      <c r="C31" s="50"/>
      <c r="D31" s="50" t="n">
        <f aca="false">'Revenue Build'!D12</f>
        <v>46398</v>
      </c>
      <c r="E31" s="36" t="n">
        <f aca="false">SUM(E26:E30)+Assumptions!E36</f>
        <v>45376.28</v>
      </c>
      <c r="F31" s="36" t="n">
        <f aca="false">SUM(F26:F30)+Assumptions!F36</f>
        <v>45466.6719</v>
      </c>
      <c r="G31" s="36" t="n">
        <f aca="false">SUM(G26:G30)+Assumptions!G36</f>
        <v>46014.030922</v>
      </c>
      <c r="H31" s="36" t="n">
        <f aca="false">SUM(H26:H30)+Assumptions!H36</f>
        <v>46884.9837473</v>
      </c>
      <c r="I31" s="36" t="n">
        <f aca="false">SUM(I26:I30)+Assumptions!I36</f>
        <v>47822.6648523902</v>
      </c>
      <c r="K31" s="51" t="s">
        <v>180</v>
      </c>
    </row>
    <row r="32" customFormat="false" ht="15" hidden="false" customHeight="false" outlineLevel="0" collapsed="false">
      <c r="A32" s="3" t="s">
        <v>44</v>
      </c>
      <c r="B32" s="22"/>
      <c r="C32" s="22"/>
      <c r="D32" s="22" t="n">
        <f aca="false">'Income Statement'!D10</f>
        <v>3797</v>
      </c>
      <c r="E32" s="49" t="n">
        <f aca="false">E31*(Assumptions!E41-Assumptions!E43-Assumptions!E44)</f>
        <v>3720.85496</v>
      </c>
      <c r="F32" s="49" t="n">
        <f aca="false">F31*(Assumptions!F41-Assumptions!F43-Assumptions!F44)</f>
        <v>3955.6004553</v>
      </c>
      <c r="G32" s="49" t="n">
        <f aca="false">G31*(Assumptions!G41-Assumptions!G43-Assumptions!G44)</f>
        <v>4371.33293759</v>
      </c>
      <c r="H32" s="49" t="n">
        <f aca="false">H31*(Assumptions!H41-Assumptions!H43-Assumptions!H44)</f>
        <v>4688.49837473</v>
      </c>
      <c r="I32" s="49" t="n">
        <f aca="false">I31*(Assumptions!I41-Assumptions!I43-Assumptions!I44)</f>
        <v>4877.9118149438</v>
      </c>
    </row>
    <row r="33" customFormat="false" ht="15" hidden="false" customHeight="false" outlineLevel="0" collapsed="false">
      <c r="A33" s="4" t="s">
        <v>45</v>
      </c>
      <c r="B33" s="19"/>
      <c r="C33" s="19"/>
      <c r="D33" s="19" t="n">
        <f aca="false">D32/D31</f>
        <v>0.0818354239406871</v>
      </c>
      <c r="E33" s="37" t="n">
        <f aca="false">E32/E31</f>
        <v>0.082</v>
      </c>
      <c r="F33" s="37" t="n">
        <f aca="false">F32/F31</f>
        <v>0.087</v>
      </c>
      <c r="G33" s="37" t="n">
        <f aca="false">G32/G31</f>
        <v>0.095</v>
      </c>
      <c r="H33" s="37" t="n">
        <f aca="false">H32/H31</f>
        <v>0.1</v>
      </c>
      <c r="I33" s="37" t="n">
        <f aca="false">I32/I31</f>
        <v>0.102</v>
      </c>
    </row>
    <row r="35" customFormat="false" ht="15" hidden="false" customHeight="false" outlineLevel="0" collapsed="false">
      <c r="A35" s="17" t="s">
        <v>181</v>
      </c>
      <c r="B35" s="18"/>
      <c r="C35" s="18"/>
      <c r="D35" s="18"/>
      <c r="E35" s="18"/>
      <c r="F35" s="18"/>
      <c r="G35" s="18"/>
      <c r="H35" s="18"/>
      <c r="I35" s="18"/>
    </row>
    <row r="36" customFormat="false" ht="30" hidden="false" customHeight="true" outlineLevel="0" collapsed="false">
      <c r="A36" s="52" t="s">
        <v>182</v>
      </c>
      <c r="B36" s="53" t="s">
        <v>183</v>
      </c>
      <c r="C36" s="53" t="s">
        <v>184</v>
      </c>
      <c r="D36" s="53" t="s">
        <v>185</v>
      </c>
      <c r="E36" s="53" t="s">
        <v>186</v>
      </c>
      <c r="K36" s="2" t="s">
        <v>187</v>
      </c>
    </row>
    <row r="37" customFormat="false" ht="15" hidden="false" customHeight="false" outlineLevel="0" collapsed="false">
      <c r="A37" s="4" t="s">
        <v>178</v>
      </c>
      <c r="B37" s="54" t="n">
        <f aca="false">I11</f>
        <v>55144.7183984496</v>
      </c>
      <c r="C37" s="55" t="n">
        <f aca="false">(I11/D11)^(1/5)-1</f>
        <v>0.0351443894114794</v>
      </c>
      <c r="D37" s="54" t="n">
        <f aca="false">I12</f>
        <v>6451.9320526186</v>
      </c>
      <c r="E37" s="55" t="n">
        <f aca="false">I13</f>
        <v>0.117</v>
      </c>
    </row>
    <row r="38" customFormat="false" ht="15" hidden="false" customHeight="false" outlineLevel="0" collapsed="false">
      <c r="A38" s="4" t="s">
        <v>179</v>
      </c>
      <c r="B38" s="54" t="n">
        <f aca="false">I21</f>
        <v>60509.7100147308</v>
      </c>
      <c r="C38" s="55" t="n">
        <f aca="false">(I21/D21)^(1/5)-1</f>
        <v>0.054545110098323</v>
      </c>
      <c r="D38" s="54" t="n">
        <f aca="false">I22</f>
        <v>7987.28172194447</v>
      </c>
      <c r="E38" s="55" t="n">
        <f aca="false">I23</f>
        <v>0.132</v>
      </c>
    </row>
    <row r="39" customFormat="false" ht="15" hidden="false" customHeight="false" outlineLevel="0" collapsed="false">
      <c r="A39" s="4" t="s">
        <v>180</v>
      </c>
      <c r="B39" s="54" t="n">
        <f aca="false">I31</f>
        <v>47822.6648523902</v>
      </c>
      <c r="C39" s="55" t="n">
        <f aca="false">(I31/D31)^(1/5)-1</f>
        <v>0.00606699659318721</v>
      </c>
      <c r="D39" s="54" t="n">
        <f aca="false">I32</f>
        <v>4877.9118149438</v>
      </c>
      <c r="E39" s="55" t="n">
        <f aca="false">I33</f>
        <v>0.102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6" t="s">
        <v>22</v>
      </c>
    </row>
    <row r="2" customFormat="false" ht="15" hidden="false" customHeight="false" outlineLevel="0" collapsed="false">
      <c r="A2" s="2" t="s">
        <v>188</v>
      </c>
    </row>
    <row r="4" customFormat="false" ht="15" hidden="false" customHeight="false" outlineLevel="0" collapsed="false">
      <c r="A4" s="7" t="s">
        <v>33</v>
      </c>
      <c r="B4" s="8" t="s">
        <v>34</v>
      </c>
      <c r="C4" s="8" t="s">
        <v>35</v>
      </c>
      <c r="D4" s="8" t="s">
        <v>36</v>
      </c>
      <c r="E4" s="8" t="s">
        <v>37</v>
      </c>
      <c r="F4" s="8" t="s">
        <v>38</v>
      </c>
      <c r="G4" s="8" t="s">
        <v>39</v>
      </c>
      <c r="H4" s="8" t="s">
        <v>40</v>
      </c>
      <c r="I4" s="8" t="s">
        <v>41</v>
      </c>
    </row>
    <row r="5" customFormat="false" ht="15" hidden="false" customHeight="false" outlineLevel="0" collapsed="false">
      <c r="A5" s="4" t="s">
        <v>189</v>
      </c>
      <c r="B5" s="47" t="n">
        <f aca="false">'Balance Sheet'!B37</f>
        <v>0</v>
      </c>
      <c r="C5" s="47" t="n">
        <f aca="false">'Balance Sheet'!C37</f>
        <v>0</v>
      </c>
      <c r="D5" s="47" t="n">
        <f aca="false">'Balance Sheet'!D37</f>
        <v>0</v>
      </c>
      <c r="E5" s="10" t="n">
        <f aca="false">'Balance Sheet'!E37</f>
        <v>0</v>
      </c>
      <c r="F5" s="10" t="n">
        <f aca="false">'Balance Sheet'!F37</f>
        <v>0</v>
      </c>
      <c r="G5" s="10" t="n">
        <f aca="false">'Balance Sheet'!G37</f>
        <v>0</v>
      </c>
      <c r="H5" s="10" t="n">
        <f aca="false">'Balance Sheet'!H37</f>
        <v>0</v>
      </c>
      <c r="I5" s="10" t="n">
        <f aca="false">'Balance Sheet'!I37</f>
        <v>0</v>
      </c>
    </row>
    <row r="6" customFormat="false" ht="15" hidden="false" customHeight="false" outlineLevel="0" collapsed="false">
      <c r="A6" s="4" t="s">
        <v>190</v>
      </c>
      <c r="B6" s="47" t="n">
        <f aca="false">ROUND('Cash Flow'!B32-'Balance Sheet'!B6,0)</f>
        <v>0</v>
      </c>
      <c r="C6" s="47" t="n">
        <f aca="false">ROUND('Cash Flow'!C32-'Balance Sheet'!C6,0)</f>
        <v>0</v>
      </c>
      <c r="D6" s="47" t="n">
        <f aca="false">ROUND('Cash Flow'!D32-'Balance Sheet'!D6,0)</f>
        <v>0</v>
      </c>
      <c r="E6" s="10" t="n">
        <f aca="false">ROUND('Cash Flow'!E32-'Balance Sheet'!E6,0)</f>
        <v>0</v>
      </c>
      <c r="F6" s="10" t="n">
        <f aca="false">ROUND('Cash Flow'!F32-'Balance Sheet'!F6,0)</f>
        <v>0</v>
      </c>
      <c r="G6" s="10" t="n">
        <f aca="false">ROUND('Cash Flow'!G32-'Balance Sheet'!G6,0)</f>
        <v>0</v>
      </c>
      <c r="H6" s="10" t="n">
        <f aca="false">ROUND('Cash Flow'!H32-'Balance Sheet'!H6,0)</f>
        <v>0</v>
      </c>
      <c r="I6" s="10" t="n">
        <f aca="false">ROUND('Cash Flow'!I32-'Balance Sheet'!I6,0)</f>
        <v>0</v>
      </c>
    </row>
    <row r="7" customFormat="false" ht="15" hidden="false" customHeight="false" outlineLevel="0" collapsed="false">
      <c r="A7" s="4" t="s">
        <v>191</v>
      </c>
      <c r="B7" s="47" t="n">
        <f aca="false">0</f>
        <v>0</v>
      </c>
      <c r="C7" s="47" t="n">
        <f aca="false">ROUND('Revenue Build'!C12-'Income Statement'!C5,0)</f>
        <v>0</v>
      </c>
      <c r="D7" s="47" t="n">
        <f aca="false">ROUND('Revenue Build'!D12-'Income Statement'!D5,0)</f>
        <v>0</v>
      </c>
      <c r="E7" s="10" t="n">
        <f aca="false">ROUND('Revenue Build'!E12-'Income Statement'!E5,0)</f>
        <v>0</v>
      </c>
      <c r="F7" s="10" t="n">
        <f aca="false">ROUND('Revenue Build'!F12-'Income Statement'!F5,0)</f>
        <v>0</v>
      </c>
      <c r="G7" s="10" t="n">
        <f aca="false">ROUND('Revenue Build'!G12-'Income Statement'!G5,0)</f>
        <v>0</v>
      </c>
      <c r="H7" s="10" t="n">
        <f aca="false">ROUND('Revenue Build'!H12-'Income Statement'!H5,0)</f>
        <v>0</v>
      </c>
      <c r="I7" s="10" t="n">
        <f aca="false">ROUND('Revenue Build'!I12-'Income Statement'!I5,0)</f>
        <v>0</v>
      </c>
    </row>
    <row r="8" customFormat="false" ht="15" hidden="false" customHeight="false" outlineLevel="0" collapsed="false">
      <c r="A8" s="4" t="s">
        <v>192</v>
      </c>
      <c r="B8" s="47" t="n">
        <f aca="false">ROUND('Income Statement'!B15-5700,0)</f>
        <v>0</v>
      </c>
      <c r="C8" s="47" t="n">
        <f aca="false">ROUND('Income Statement'!C15-3219,0)</f>
        <v>0</v>
      </c>
      <c r="D8" s="47" t="n">
        <f aca="false">ROUND('Income Statement'!D15-3108,0)</f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0</v>
      </c>
    </row>
    <row r="9" customFormat="false" ht="15" hidden="false" customHeight="false" outlineLevel="0" collapsed="false">
      <c r="A9" s="4" t="s">
        <v>193</v>
      </c>
      <c r="B9" s="47" t="n">
        <f aca="false">ROUND('Balance Sheet'!B16-38110,0)</f>
        <v>0</v>
      </c>
      <c r="C9" s="47" t="n">
        <f aca="false">ROUND('Balance Sheet'!C16-36579,0)</f>
        <v>0</v>
      </c>
      <c r="D9" s="47" t="n">
        <f aca="false">ROUND('Balance Sheet'!D16-38410,0)</f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 t="n">
        <v>0</v>
      </c>
    </row>
    <row r="10" customFormat="false" ht="15" hidden="false" customHeight="false" outlineLevel="0" collapsed="false">
      <c r="A10" s="4" t="s">
        <v>194</v>
      </c>
      <c r="B10" s="47" t="n">
        <v>0</v>
      </c>
      <c r="C10" s="47" t="n">
        <v>0</v>
      </c>
      <c r="D10" s="47" t="n">
        <v>0</v>
      </c>
      <c r="E10" s="10" t="n">
        <f aca="false">IF(Assumptions!$B$6=1,ROUND(Scenarios!E11-'Income Statement'!E5,0),0)</f>
        <v>0</v>
      </c>
      <c r="F10" s="10" t="n">
        <f aca="false">IF(Assumptions!$B$6=1,ROUND(Scenarios!F11-'Income Statement'!F5,0),0)</f>
        <v>0</v>
      </c>
      <c r="G10" s="10" t="n">
        <f aca="false">IF(Assumptions!$B$6=1,ROUND(Scenarios!G11-'Income Statement'!G5,0),0)</f>
        <v>0</v>
      </c>
      <c r="H10" s="10" t="n">
        <f aca="false">IF(Assumptions!$B$6=1,ROUND(Scenarios!H11-'Income Statement'!H5,0),0)</f>
        <v>0</v>
      </c>
      <c r="I10" s="10" t="n">
        <f aca="false">IF(Assumptions!$B$6=1,ROUND(Scenarios!I11-'Income Statement'!I5,0),0)</f>
        <v>0</v>
      </c>
    </row>
    <row r="11" customFormat="false" ht="15" hidden="false" customHeight="false" outlineLevel="0" collapsed="false">
      <c r="A11" s="4" t="s">
        <v>195</v>
      </c>
      <c r="B11" s="56" t="str">
        <f aca="false">"OK"</f>
        <v>OK</v>
      </c>
      <c r="C11" s="56" t="str">
        <f aca="false">"OK"</f>
        <v>OK</v>
      </c>
      <c r="D11" s="56" t="str">
        <f aca="false">"OK"</f>
        <v>OK</v>
      </c>
      <c r="E11" s="15" t="str">
        <f aca="false">IF('Balance Sheet'!E6&gt;0,"OK","LOW CASH")</f>
        <v>OK</v>
      </c>
      <c r="F11" s="15" t="str">
        <f aca="false">IF('Balance Sheet'!F6&gt;0,"OK","LOW CASH")</f>
        <v>OK</v>
      </c>
      <c r="G11" s="15" t="str">
        <f aca="false">IF('Balance Sheet'!G6&gt;0,"OK","LOW CASH")</f>
        <v>OK</v>
      </c>
      <c r="H11" s="15" t="str">
        <f aca="false">IF('Balance Sheet'!H6&gt;0,"OK","LOW CASH")</f>
        <v>OK</v>
      </c>
      <c r="I11" s="15" t="str">
        <f aca="false">IF('Balance Sheet'!I6&gt;0,"OK","LOW CASH")</f>
        <v>OK</v>
      </c>
    </row>
    <row r="13" customFormat="false" ht="15" hidden="false" customHeight="false" outlineLevel="0" collapsed="false">
      <c r="A13" s="3" t="s">
        <v>196</v>
      </c>
      <c r="B13" s="5" t="str">
        <f aca="false">IF(AND(SUMPRODUCT(ABS(B5:I10))=0,COUNTIF(B11:I11,"OK")=8),"OK","ERROR")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2026-10-20T05:43:09Z</dcterms:created>
  <dc:creator>openpyxl</dc:creator>
  <dc:description/>
  <dc:language>en-US</dc:language>
  <cp:lastModifiedBy/>
  <dcterms:modified xsi:type="dcterms:W3CDTF">2026-10-20T05:43:11Z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