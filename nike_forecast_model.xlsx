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ummary" sheetId="2" state="visible" r:id="rId4"/>
    <sheet name="Assumptions" sheetId="3" state="visible" r:id="rId5"/>
    <sheet name="Revenue Build" sheetId="4" state="visible" r:id="rId6"/>
    <sheet name="Income Statement" sheetId="5" state="visible" r:id="rId7"/>
    <sheet name="Balance Sheet" sheetId="6" state="visible" r:id="rId8"/>
    <sheet name="Cash Flow" sheetId="7" state="visible" r:id="rId9"/>
    <sheet name="Scenarios" sheetId="8" state="visible" r:id="rId10"/>
    <sheet name="Check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<sst xmlns="http://schemas.openxmlformats.org/spreadsheetml/2006/main" count="334" uniqueCount="197">
  <si>
    <t xml:space="preserve">NIKE, Inc.: Five-Year Financial Forecast</t>
  </si>
  <si>
    <t xml:space="preserve">Three-statement model: FY2024 to FY2026 actual, FY2027 to FY2031 forecast (years ending 31 May). $ millions.</t>
  </si>
  <si>
    <t xml:space="preserve">Purpose</t>
  </si>
  <si>
    <t xml:space="preserve">Forecast Nike's revenue, profit and cash flow for five years under base, upside and downside scenarios.</t>
  </si>
  <si>
    <t xml:space="preserve">Selected scenario</t>
  </si>
  <si>
    <t xml:space="preserve">Revenue</t>
  </si>
  <si>
    <t xml:space="preserve">Built up by region (North America, EMEA, Greater China, APLA, Converse), each with its own growth rate per scenario.</t>
  </si>
  <si>
    <t xml:space="preserve">Costs</t>
  </si>
  <si>
    <t xml:space="preserve">Gross margin by scenario; marketing (demand creation) and overhead as a % of revenue.</t>
  </si>
  <si>
    <t xml:space="preserve">Statements</t>
  </si>
  <si>
    <t xml:space="preserve">Linked income statement, balance sheet and cash flow. Cash is the balancing item; the balance sheet balances every year.</t>
  </si>
  <si>
    <t xml:space="preserve">Sheets</t>
  </si>
  <si>
    <t xml:space="preserve">Summary</t>
  </si>
  <si>
    <t xml:space="preserve">Key outputs and charts for the selected scenario</t>
  </si>
  <si>
    <t xml:space="preserve">Assumptions</t>
  </si>
  <si>
    <t xml:space="preserve">Every driver, with base / upside / downside tables. Change cell B6 to switch scenario.</t>
  </si>
  <si>
    <t xml:space="preserve">Revenue Build</t>
  </si>
  <si>
    <t xml:space="preserve">Revenue by region, growth and mix</t>
  </si>
  <si>
    <t xml:space="preserve">Income Statement / Balance Sheet / Cash Flow</t>
  </si>
  <si>
    <t xml:space="preserve">The three linked statements</t>
  </si>
  <si>
    <t xml:space="preserve">Scenarios</t>
  </si>
  <si>
    <t xml:space="preserve">All three scenarios side by side</t>
  </si>
  <si>
    <t xml:space="preserve">Checks</t>
  </si>
  <si>
    <t xml:space="preserve">Balance sheet, cash and source checks</t>
  </si>
  <si>
    <t xml:space="preserve">Sources</t>
  </si>
  <si>
    <t xml:space="preserve">NIKE, Inc. Form 10-K filings (FY2024 to FY2026) and fiscal 2026 fourth quarter results release (revenue by region).</t>
  </si>
  <si>
    <t xml:space="preserve">Note</t>
  </si>
  <si>
    <t xml:space="preserve">The FY2027 base case is set to match Nike's guidance of 1 Oct 2026 (revenue down a high single digit percentage, EPS of about $1.15 to $1.35 before restructuring). The regional split and FY2028 to FY2031 are my own assumptions.</t>
  </si>
  <si>
    <t xml:space="preserve">Colour key</t>
  </si>
  <si>
    <t xml:space="preserve">Blue = input, black = formula, green = link to another sheet, yellow = key assumption, grey = actual (history)</t>
  </si>
  <si>
    <t xml:space="preserve">Checks status</t>
  </si>
  <si>
    <t xml:space="preserve">Nike Five-Year Forecast: Summary</t>
  </si>
  <si>
    <t xml:space="preserve">Selected scenario shown. Change the scenario on the Assumptions sheet (cell B6).</t>
  </si>
  <si>
    <t xml:space="preserve">$ millions unless stated</t>
  </si>
  <si>
    <t xml:space="preserve">FY2024A</t>
  </si>
  <si>
    <t xml:space="preserve">FY2025A</t>
  </si>
  <si>
    <t xml:space="preserve">FY2026A</t>
  </si>
  <si>
    <t xml:space="preserve">FY2027E</t>
  </si>
  <si>
    <t xml:space="preserve">FY2028E</t>
  </si>
  <si>
    <t xml:space="preserve">FY2029E</t>
  </si>
  <si>
    <t xml:space="preserve">FY2030E</t>
  </si>
  <si>
    <t xml:space="preserve">FY2031E</t>
  </si>
  <si>
    <t xml:space="preserve">Revenue growth</t>
  </si>
  <si>
    <t xml:space="preserve">Gross margin</t>
  </si>
  <si>
    <t xml:space="preserve">Operating income (EBIT)</t>
  </si>
  <si>
    <t xml:space="preserve">EBIT margin</t>
  </si>
  <si>
    <t xml:space="preserve">Net income</t>
  </si>
  <si>
    <t xml:space="preserve">Diluted EPS ($)</t>
  </si>
  <si>
    <t xml:space="preserve">Cash from operations</t>
  </si>
  <si>
    <t xml:space="preserve">Free cash flow</t>
  </si>
  <si>
    <t xml:space="preserve">Cash returned to shareholders</t>
  </si>
  <si>
    <t xml:space="preserve">Cash and short-term investments</t>
  </si>
  <si>
    <t xml:space="preserve">Total debt</t>
  </si>
  <si>
    <t xml:space="preserve">Blue = input you can change. Yellow = key assumption. Forecast years only; history shown grey for reference.</t>
  </si>
  <si>
    <t xml:space="preserve">Scenario (1 = Base, 2 = Upside, 3 = Downside)</t>
  </si>
  <si>
    <t xml:space="preserve">Revenue growth by region: selected scenario</t>
  </si>
  <si>
    <t xml:space="preserve">North America</t>
  </si>
  <si>
    <t xml:space="preserve">Europe, Middle East &amp; Africa</t>
  </si>
  <si>
    <t xml:space="preserve">Greater China</t>
  </si>
  <si>
    <t xml:space="preserve">Asia Pacific &amp; Latin America</t>
  </si>
  <si>
    <t xml:space="preserve">Converse</t>
  </si>
  <si>
    <t xml:space="preserve">Revenue growth by region: Base case</t>
  </si>
  <si>
    <t xml:space="preserve">Revenue growth by region: Upside case</t>
  </si>
  <si>
    <t xml:space="preserve">Revenue growth by region: Downside case</t>
  </si>
  <si>
    <t xml:space="preserve">Global Brand Divisions and Corporate ($m, held flat)</t>
  </si>
  <si>
    <t xml:space="preserve">Margins and costs (% of revenue)</t>
  </si>
  <si>
    <t xml:space="preserve">Gross margin: base</t>
  </si>
  <si>
    <t xml:space="preserve">Gross margin: upside</t>
  </si>
  <si>
    <t xml:space="preserve">Gross margin: downside</t>
  </si>
  <si>
    <t xml:space="preserve">Gross margin: selected scenario</t>
  </si>
  <si>
    <t xml:space="preserve">Demand creation (marketing)</t>
  </si>
  <si>
    <t xml:space="preserve">Operating overhead</t>
  </si>
  <si>
    <t xml:space="preserve">Depreciation and amortization</t>
  </si>
  <si>
    <t xml:space="preserve">Stock-based compensation (non-cash, inside overhead)</t>
  </si>
  <si>
    <t xml:space="preserve">Capital expenditure</t>
  </si>
  <si>
    <t xml:space="preserve">Tax and interest</t>
  </si>
  <si>
    <t xml:space="preserve">Effective tax rate</t>
  </si>
  <si>
    <t xml:space="preserve">Interest rate on debt</t>
  </si>
  <si>
    <t xml:space="preserve">Interest earned on cash and investments</t>
  </si>
  <si>
    <t xml:space="preserve">Working capital</t>
  </si>
  <si>
    <t xml:space="preserve">Receivable days (on revenue)</t>
  </si>
  <si>
    <t xml:space="preserve">Inventory days (on cost of sales)</t>
  </si>
  <si>
    <t xml:space="preserve">Payable days (on cost of sales)</t>
  </si>
  <si>
    <t xml:space="preserve">Prepaid and other current assets (% of revenue)</t>
  </si>
  <si>
    <t xml:space="preserve">Accrued liabilities (% of revenue)</t>
  </si>
  <si>
    <t xml:space="preserve">Capital allocation</t>
  </si>
  <si>
    <t xml:space="preserve">Debt repaid ($m)</t>
  </si>
  <si>
    <t xml:space="preserve">Dividend per share growth</t>
  </si>
  <si>
    <t xml:space="preserve">Share buybacks ($m)</t>
  </si>
  <si>
    <t xml:space="preserve">Average buyback share price ($)</t>
  </si>
  <si>
    <t xml:space="preserve">New shares issued to employees (m)</t>
  </si>
  <si>
    <t xml:space="preserve">Revenue Build by Region</t>
  </si>
  <si>
    <t xml:space="preserve">FY2025 and FY2026 actual revenue by region from Nike's fiscal 2026 results; forecast = prior year x (1 + growth).</t>
  </si>
  <si>
    <t xml:space="preserve">Revenue ($m)</t>
  </si>
  <si>
    <t xml:space="preserve">Global Brand Divisions and Corporate</t>
  </si>
  <si>
    <t xml:space="preserve">Total revenue</t>
  </si>
  <si>
    <t xml:space="preserve">Growth</t>
  </si>
  <si>
    <t xml:space="preserve">Total revenue growth</t>
  </si>
  <si>
    <t xml:space="preserve">Revenue mix</t>
  </si>
  <si>
    <t xml:space="preserve">Income Statement</t>
  </si>
  <si>
    <t xml:space="preserve">FY2024 to FY2026 as reported (10-K). FY2027 to FY2031 forecast from the Assumptions sheet.</t>
  </si>
  <si>
    <t xml:space="preserve">Revenues</t>
  </si>
  <si>
    <t xml:space="preserve">Cost of sales</t>
  </si>
  <si>
    <t xml:space="preserve">Gross profit</t>
  </si>
  <si>
    <t xml:space="preserve">Demand creation expense</t>
  </si>
  <si>
    <t xml:space="preserve">Operating overhead expense</t>
  </si>
  <si>
    <t xml:space="preserve">Interest expense (income), net</t>
  </si>
  <si>
    <t xml:space="preserve">Forecast: opening debt x rate less opening cash x rate (avoids a circular reference)</t>
  </si>
  <si>
    <t xml:space="preserve">Other (income) expense, net</t>
  </si>
  <si>
    <t xml:space="preserve">Forecast: assumed nil</t>
  </si>
  <si>
    <t xml:space="preserve">Income before income taxes</t>
  </si>
  <si>
    <t xml:space="preserve">Income tax expense</t>
  </si>
  <si>
    <t xml:space="preserve">Diluted shares (m)</t>
  </si>
  <si>
    <t xml:space="preserve">Dividends per share ($)</t>
  </si>
  <si>
    <t xml:space="preserve">Margins</t>
  </si>
  <si>
    <t xml:space="preserve">Demand creation % of revenue</t>
  </si>
  <si>
    <t xml:space="preserve">Operating overhead % of revenue</t>
  </si>
  <si>
    <t xml:space="preserve">Net margin</t>
  </si>
  <si>
    <t xml:space="preserve">Balance Sheet</t>
  </si>
  <si>
    <t xml:space="preserve">Balances at 31 May. History from the 10-K (intangibles and goodwill combined; notes payable in short-term debt). Cash is the balancing figure from the cash flow.</t>
  </si>
  <si>
    <t xml:space="preserve">Assets</t>
  </si>
  <si>
    <t xml:space="preserve">Cash and equivalents</t>
  </si>
  <si>
    <t xml:space="preserve">Short-term investments</t>
  </si>
  <si>
    <t xml:space="preserve">Accounts receivable, net</t>
  </si>
  <si>
    <t xml:space="preserve">Inventories</t>
  </si>
  <si>
    <t xml:space="preserve">Prepaid expenses and other current assets</t>
  </si>
  <si>
    <t xml:space="preserve">Total current assets</t>
  </si>
  <si>
    <t xml:space="preserve">Property, plant and equipment, net</t>
  </si>
  <si>
    <t xml:space="preserve">Operating lease right-of-use assets</t>
  </si>
  <si>
    <t xml:space="preserve">Intangible assets and goodwill</t>
  </si>
  <si>
    <t xml:space="preserve">Deferred income taxes and other assets</t>
  </si>
  <si>
    <t xml:space="preserve">Total assets</t>
  </si>
  <si>
    <t xml:space="preserve">Liabilities</t>
  </si>
  <si>
    <t xml:space="preserve">Short-term debt and current portion of long-term debt</t>
  </si>
  <si>
    <t xml:space="preserve">Accounts payable</t>
  </si>
  <si>
    <t xml:space="preserve">Accrued liabilities</t>
  </si>
  <si>
    <t xml:space="preserve">Income taxes payable</t>
  </si>
  <si>
    <t xml:space="preserve">Current operating lease liabilities</t>
  </si>
  <si>
    <t xml:space="preserve">Total current liabilities</t>
  </si>
  <si>
    <t xml:space="preserve">Long-term debt</t>
  </si>
  <si>
    <t xml:space="preserve">Operating lease liabilities</t>
  </si>
  <si>
    <t xml:space="preserve">Deferred income taxes and other liabilities</t>
  </si>
  <si>
    <t xml:space="preserve">Total liabilities</t>
  </si>
  <si>
    <t xml:space="preserve">Shareholders' equity</t>
  </si>
  <si>
    <t xml:space="preserve">Common stock and capital in excess of stated value</t>
  </si>
  <si>
    <t xml:space="preserve">Accumulated other comprehensive income (loss)</t>
  </si>
  <si>
    <t xml:space="preserve">Retained earnings (deficit)</t>
  </si>
  <si>
    <t xml:space="preserve">Total shareholders' equity</t>
  </si>
  <si>
    <t xml:space="preserve">Total liabilities and shareholders' equity</t>
  </si>
  <si>
    <t xml:space="preserve">Check: assets - liabilities - equity (should be 0)</t>
  </si>
  <si>
    <t xml:space="preserve">Cash Flow Statement</t>
  </si>
  <si>
    <t xml:space="preserve">History from the 10-K (smaller items grouped). Forecast built from the income statement and balance sheet movements.</t>
  </si>
  <si>
    <t xml:space="preserve">Operating activities</t>
  </si>
  <si>
    <t xml:space="preserve">Stock-based compensation</t>
  </si>
  <si>
    <t xml:space="preserve">(Increase) decrease in receivables</t>
  </si>
  <si>
    <t xml:space="preserve">(Increase) decrease in inventories</t>
  </si>
  <si>
    <t xml:space="preserve">(Increase) decrease in prepaid and other</t>
  </si>
  <si>
    <t xml:space="preserve">Increase (decrease) in payables</t>
  </si>
  <si>
    <t xml:space="preserve">Increase (decrease) in accrued liabilities</t>
  </si>
  <si>
    <t xml:space="preserve">Working capital and other items (history, total)</t>
  </si>
  <si>
    <t xml:space="preserve">Cash provided by operations</t>
  </si>
  <si>
    <t xml:space="preserve">Investing activities</t>
  </si>
  <si>
    <t xml:space="preserve">Additions to property, plant and equipment</t>
  </si>
  <si>
    <t xml:space="preserve">Short-term investments and other</t>
  </si>
  <si>
    <t xml:space="preserve">Cash used by investing activities</t>
  </si>
  <si>
    <t xml:space="preserve">Financing activities</t>
  </si>
  <si>
    <t xml:space="preserve">Debt repaid</t>
  </si>
  <si>
    <t xml:space="preserve">Dividends paid</t>
  </si>
  <si>
    <t xml:space="preserve">Share buybacks</t>
  </si>
  <si>
    <t xml:space="preserve">Share issuance and other</t>
  </si>
  <si>
    <t xml:space="preserve">Cash used by financing activities</t>
  </si>
  <si>
    <t xml:space="preserve">Effect of exchange rates</t>
  </si>
  <si>
    <t xml:space="preserve">Net change in cash</t>
  </si>
  <si>
    <t xml:space="preserve">Cash at beginning of year</t>
  </si>
  <si>
    <t xml:space="preserve">Cash at end of year</t>
  </si>
  <si>
    <t xml:space="preserve">Free cash flow (operations less capex)</t>
  </si>
  <si>
    <t xml:space="preserve">Scenario Comparison</t>
  </si>
  <si>
    <t xml:space="preserve">Revenue and operating income under each scenario, calculated in parallel (independent of the scenario selector).</t>
  </si>
  <si>
    <t xml:space="preserve">Base case</t>
  </si>
  <si>
    <t xml:space="preserve">Upside case</t>
  </si>
  <si>
    <t xml:space="preserve">Downside case</t>
  </si>
  <si>
    <t xml:space="preserve">Summary: FY2031</t>
  </si>
  <si>
    <t xml:space="preserve">Scenario</t>
  </si>
  <si>
    <t xml:space="preserve">FY2031 revenue</t>
  </si>
  <si>
    <t xml:space="preserve">Revenue CAGR FY26-31</t>
  </si>
  <si>
    <t xml:space="preserve">FY2031 EBIT</t>
  </si>
  <si>
    <t xml:space="preserve">FY2031 EBIT margin</t>
  </si>
  <si>
    <t xml:space="preserve">Chart data</t>
  </si>
  <si>
    <t xml:space="preserve">All should be 0 (or OK).</t>
  </si>
  <si>
    <t xml:space="preserve">Balance sheet balances</t>
  </si>
  <si>
    <t xml:space="preserve">Cash flow closing cash = balance sheet cash</t>
  </si>
  <si>
    <t xml:space="preserve">Revenue build = income statement revenue</t>
  </si>
  <si>
    <t xml:space="preserve">Reported net income agrees (history)</t>
  </si>
  <si>
    <t xml:space="preserve">Reported total assets agree (history)</t>
  </si>
  <si>
    <t xml:space="preserve">Base case scenario sheet = model (when scenario 1 selected)</t>
  </si>
  <si>
    <t xml:space="preserve">Cash stays positive</t>
  </si>
  <si>
    <t xml:space="preserve">Overall status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</si>
</sst>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%;\(0.0%\);\-"/>
    <numFmt numFmtId="167" formatCode="\$0.00"/>
    <numFmt numFmtId="168" formatCode="#,##0"/>
    <numFmt numFmtId="169" formatCode="0%"/>
    <numFmt numFmtId="170" formatCode="0.0"/>
    <numFmt numFmtId="171" formatCode="#,##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9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4"/>
      <color rgb="FF1F4E7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0"/>
      <color rgb="FF1F4E7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4E79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E1E0D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808080"/>
      </top>
      <bottom/>
      <diagonal/>
    </border>
    <border diagonalUp="false" diagonalDown="false">
      <left/>
      <right/>
      <top style="thin">
        <color rgb="FF808080"/>
      </top>
      <bottom style="double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1E0D9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EB6834"/>
      <rgbColor rgb="FF595959"/>
      <rgbColor rgb="FF878787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($m): actual FY2024-26, forecast FY2027-31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Summary!A5</c:f>
              <c:strCache>
                <c:ptCount val="1"/>
                <c:pt idx="0">
                  <c:v>Revenue</c:v>
                </c:pt>
              </c:strCache>
            </c:strRef>
          </c:tx>
          <c:spPr>
            <a:solidFill>
              <a:srgbClr val="2a78d6"/>
            </a:solidFill>
            <a:ln w="0">
              <a:solidFill>
                <a:srgbClr val="2a78d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Summary!$B$4:$I$4</c:f>
              <c:strCache>
                <c:ptCount val="8"/>
                <c:pt idx="0">
                  <c:v>FY2024A</c:v>
                </c:pt>
                <c:pt idx="1">
                  <c:v>FY2025A</c:v>
                </c:pt>
                <c:pt idx="2">
                  <c:v>FY2026A</c:v>
                </c:pt>
                <c:pt idx="3">
                  <c:v>FY2027E</c:v>
                </c:pt>
                <c:pt idx="4">
                  <c:v>FY2028E</c:v>
                </c:pt>
                <c:pt idx="5">
                  <c:v>FY2029E</c:v>
                </c:pt>
                <c:pt idx="6">
                  <c:v>FY2030E</c:v>
                </c:pt>
                <c:pt idx="7">
                  <c:v>FY2031E</c:v>
                </c:pt>
              </c:strCache>
            </c:strRef>
          </c:cat>
          <c:val>
            <c:numRef>
              <c:f>Summary!$B$5:$I$5</c:f>
              <c:numCache>
                <c:formatCode>#,##0;\(#,##0\);\-</c:formatCode>
                <c:ptCount val="8"/>
                <c:pt idx="0">
                  <c:v>51362</c:v>
                </c:pt>
                <c:pt idx="1">
                  <c:v>46309</c:v>
                </c:pt>
                <c:pt idx="2">
                  <c:v>46398</c:v>
                </c:pt>
                <c:pt idx="3">
                  <c:v>42441.5</c:v>
                </c:pt>
                <c:pt idx="4">
                  <c:v>43237.0646</c:v>
                </c:pt>
                <c:pt idx="5">
                  <c:v>45140.246492</c:v>
                </c:pt>
                <c:pt idx="6">
                  <c:v>47196.84009108</c:v>
                </c:pt>
                <c:pt idx="7">
                  <c:v>49129.9747031382</c:v>
                </c:pt>
              </c:numCache>
            </c:numRef>
          </c:val>
        </c:ser>
        <c:gapWidth val="150"/>
        <c:overlap val="0"/>
        <c:axId val="34197154"/>
        <c:axId val="46755491"/>
      </c:barChart>
      <c:catAx>
        <c:axId val="341971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755491"/>
        <c:crosses val="autoZero"/>
        <c:auto val="1"/>
        <c:lblAlgn val="ctr"/>
        <c:lblOffset val="100"/>
        <c:noMultiLvlLbl val="0"/>
      </c:catAx>
      <c:valAx>
        <c:axId val="4675549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1e0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1971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EBIT margin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Summary!A9</c:f>
              <c:strCache>
                <c:ptCount val="1"/>
                <c:pt idx="0">
                  <c:v>EBIT margin</c:v>
                </c:pt>
              </c:strCache>
            </c:strRef>
          </c:tx>
          <c:spPr>
            <a:solidFill>
              <a:srgbClr val="eb6834"/>
            </a:solidFill>
            <a:ln w="2844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Summary!$B$4:$I$4</c:f>
              <c:strCache>
                <c:ptCount val="8"/>
                <c:pt idx="0">
                  <c:v>FY2024A</c:v>
                </c:pt>
                <c:pt idx="1">
                  <c:v>FY2025A</c:v>
                </c:pt>
                <c:pt idx="2">
                  <c:v>FY2026A</c:v>
                </c:pt>
                <c:pt idx="3">
                  <c:v>FY2027E</c:v>
                </c:pt>
                <c:pt idx="4">
                  <c:v>FY2028E</c:v>
                </c:pt>
                <c:pt idx="5">
                  <c:v>FY2029E</c:v>
                </c:pt>
                <c:pt idx="6">
                  <c:v>FY2030E</c:v>
                </c:pt>
                <c:pt idx="7">
                  <c:v>FY2031E</c:v>
                </c:pt>
              </c:strCache>
            </c:strRef>
          </c:cat>
          <c:val>
            <c:numRef>
              <c:f>Summary!$B$9:$I$9</c:f>
              <c:numCache>
                <c:formatCode>0.0%;\(0.0%\);\-</c:formatCode>
                <c:ptCount val="8"/>
                <c:pt idx="0">
                  <c:v>0.122872941084849</c:v>
                </c:pt>
                <c:pt idx="1">
                  <c:v>0.0799412641171263</c:v>
                </c:pt>
                <c:pt idx="2">
                  <c:v>0.0818354239406871</c:v>
                </c:pt>
                <c:pt idx="3">
                  <c:v>0.047</c:v>
                </c:pt>
                <c:pt idx="4">
                  <c:v>0.0679999999999999</c:v>
                </c:pt>
                <c:pt idx="5">
                  <c:v>0.0860000000000001</c:v>
                </c:pt>
                <c:pt idx="6">
                  <c:v>0.0999999999999999</c:v>
                </c:pt>
                <c:pt idx="7">
                  <c:v>0.111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2383983"/>
        <c:axId val="36317351"/>
      </c:lineChart>
      <c:catAx>
        <c:axId val="52383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317351"/>
        <c:crosses val="autoZero"/>
        <c:auto val="1"/>
        <c:lblAlgn val="ctr"/>
        <c:lblOffset val="100"/>
        <c:noMultiLvlLbl val="0"/>
      </c:catAx>
      <c:valAx>
        <c:axId val="36317351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e1e0d9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23839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Revenue by scenario ($m)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"Upside case"</c:f>
              <c:strCache>
                <c:ptCount val="1"/>
                <c:pt idx="0">
                  <c:v>Upside case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Scenarios!$D$4:$I$4</c:f>
              <c:multiLvlStrCache>
                <c:ptCount val="1"/>
                <c:lvl>
                  <c:pt idx="0">
                    <c:v>FY2031E</c:v>
                  </c:pt>
                </c:lvl>
                <c:lvl>
                  <c:pt idx="0">
                    <c:v>FY2030E</c:v>
                  </c:pt>
                </c:lvl>
                <c:lvl>
                  <c:pt idx="0">
                    <c:v>FY2029E</c:v>
                  </c:pt>
                </c:lvl>
                <c:lvl>
                  <c:pt idx="0">
                    <c:v>FY2028E</c:v>
                  </c:pt>
                </c:lvl>
                <c:lvl>
                  <c:pt idx="0">
                    <c:v>FY2027E</c:v>
                  </c:pt>
                </c:lvl>
                <c:lvl>
                  <c:pt idx="0">
                    <c:v>FY2026A</c:v>
                  </c:pt>
                </c:lvl>
              </c:multiLvlStrCache>
            </c:multiLvlStrRef>
          </c:cat>
          <c:val>
            <c:numRef>
              <c:f>Scenarios!$D$21:$I$21</c:f>
              <c:numCache>
                <c:formatCode>#,##0;\(#,##0\);\-</c:formatCode>
                <c:ptCount val="6"/>
                <c:pt idx="0">
                  <c:v>46398</c:v>
                </c:pt>
                <c:pt idx="1">
                  <c:v>43972.33</c:v>
                </c:pt>
                <c:pt idx="2">
                  <c:v>45896.7335</c:v>
                </c:pt>
                <c:pt idx="3">
                  <c:v>48888.269</c:v>
                </c:pt>
                <c:pt idx="4">
                  <c:v>51733.11104025</c:v>
                </c:pt>
                <c:pt idx="5">
                  <c:v>54367.378408842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"Base case"</c:f>
              <c:strCache>
                <c:ptCount val="1"/>
                <c:pt idx="0">
                  <c:v>Base case</c:v>
                </c:pt>
              </c:strCache>
            </c:strRef>
          </c:tx>
          <c:spPr>
            <a:solidFill>
              <a:srgbClr val="1f4e79"/>
            </a:solidFill>
            <a:ln w="28440">
              <a:solidFill>
                <a:srgbClr val="1f4e79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Scenarios!$D$4:$I$4</c:f>
              <c:multiLvlStrCache>
                <c:ptCount val="1"/>
                <c:lvl>
                  <c:pt idx="0">
                    <c:v>FY2031E</c:v>
                  </c:pt>
                </c:lvl>
                <c:lvl>
                  <c:pt idx="0">
                    <c:v>FY2030E</c:v>
                  </c:pt>
                </c:lvl>
                <c:lvl>
                  <c:pt idx="0">
                    <c:v>FY2029E</c:v>
                  </c:pt>
                </c:lvl>
                <c:lvl>
                  <c:pt idx="0">
                    <c:v>FY2028E</c:v>
                  </c:pt>
                </c:lvl>
                <c:lvl>
                  <c:pt idx="0">
                    <c:v>FY2027E</c:v>
                  </c:pt>
                </c:lvl>
                <c:lvl>
                  <c:pt idx="0">
                    <c:v>FY2026A</c:v>
                  </c:pt>
                </c:lvl>
              </c:multiLvlStrCache>
            </c:multiLvlStrRef>
          </c:cat>
          <c:val>
            <c:numRef>
              <c:f>Scenarios!$D$11:$I$11</c:f>
              <c:numCache>
                <c:formatCode>#,##0;\(#,##0\);\-</c:formatCode>
                <c:ptCount val="6"/>
                <c:pt idx="0">
                  <c:v>46398</c:v>
                </c:pt>
                <c:pt idx="1">
                  <c:v>42441.5</c:v>
                </c:pt>
                <c:pt idx="2">
                  <c:v>43237.0646</c:v>
                </c:pt>
                <c:pt idx="3">
                  <c:v>45140.246492</c:v>
                </c:pt>
                <c:pt idx="4">
                  <c:v>47196.84009108</c:v>
                </c:pt>
                <c:pt idx="5">
                  <c:v>49129.9747031382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"Downside case"</c:f>
              <c:strCache>
                <c:ptCount val="1"/>
                <c:pt idx="0">
                  <c:v>Downside case</c:v>
                </c:pt>
              </c:strCache>
            </c:strRef>
          </c:tx>
          <c:spPr>
            <a:solidFill>
              <a:srgbClr val="eb6834"/>
            </a:solidFill>
            <a:ln w="28440">
              <a:solidFill>
                <a:srgbClr val="eb6834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Scenarios!$D$4:$I$4</c:f>
              <c:multiLvlStrCache>
                <c:ptCount val="1"/>
                <c:lvl>
                  <c:pt idx="0">
                    <c:v>FY2031E</c:v>
                  </c:pt>
                </c:lvl>
                <c:lvl>
                  <c:pt idx="0">
                    <c:v>FY2030E</c:v>
                  </c:pt>
                </c:lvl>
                <c:lvl>
                  <c:pt idx="0">
                    <c:v>FY2029E</c:v>
                  </c:pt>
                </c:lvl>
                <c:lvl>
                  <c:pt idx="0">
                    <c:v>FY2028E</c:v>
                  </c:pt>
                </c:lvl>
                <c:lvl>
                  <c:pt idx="0">
                    <c:v>FY2027E</c:v>
                  </c:pt>
                </c:lvl>
                <c:lvl>
                  <c:pt idx="0">
                    <c:v>FY2026A</c:v>
                  </c:pt>
                </c:lvl>
              </c:multiLvlStrCache>
            </c:multiLvlStrRef>
          </c:cat>
          <c:val>
            <c:numRef>
              <c:f>Scenarios!$D$31:$I$31</c:f>
              <c:numCache>
                <c:formatCode>#,##0;\(#,##0\);\-</c:formatCode>
                <c:ptCount val="6"/>
                <c:pt idx="0">
                  <c:v>46398</c:v>
                </c:pt>
                <c:pt idx="1">
                  <c:v>40852.2</c:v>
                </c:pt>
                <c:pt idx="2">
                  <c:v>40101.8204</c:v>
                </c:pt>
                <c:pt idx="3">
                  <c:v>40556.214724</c:v>
                </c:pt>
                <c:pt idx="4">
                  <c:v>41522.70563568</c:v>
                </c:pt>
                <c:pt idx="5">
                  <c:v>42553.7490738336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4369079"/>
        <c:axId val="72168215"/>
      </c:lineChart>
      <c:catAx>
        <c:axId val="743690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68215"/>
        <c:crosses val="autoZero"/>
        <c:auto val="1"/>
        <c:lblAlgn val="ctr"/>
        <c:lblOffset val="100"/>
        <c:noMultiLvlLbl val="0"/>
      </c:catAx>
      <c:valAx>
        <c:axId val="72168215"/>
        <c:scaling>
          <c:orientation val="minMax"/>
          <c:min val="35000"/>
        </c:scaling>
        <c:delete val="0"/>
        <c:axPos val="l"/>
        <c:majorGridlines>
          <c:spPr>
            <a:ln w="9360">
              <a:solidFill>
                <a:srgbClr val="e1e0d9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36907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19</xdr:row>
      <xdr:rowOff>160560</xdr:rowOff>
    </xdr:from>
    <xdr:to>
      <xdr:col>2</xdr:col>
      <xdr:colOff>662040</xdr:colOff>
      <xdr:row>34</xdr:row>
      <xdr:rowOff>2520</xdr:rowOff>
    </xdr:to>
    <xdr:graphicFrame>
      <xdr:nvGraphicFramePr>
        <xdr:cNvPr id="0" name="Chart 1"/>
        <xdr:cNvGraphicFramePr/>
      </xdr:nvGraphicFramePr>
      <xdr:xfrm>
        <a:off x="0" y="38098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19</xdr:row>
      <xdr:rowOff>160560</xdr:rowOff>
    </xdr:from>
    <xdr:to>
      <xdr:col>11</xdr:col>
      <xdr:colOff>355320</xdr:colOff>
      <xdr:row>34</xdr:row>
      <xdr:rowOff>2520</xdr:rowOff>
    </xdr:to>
    <xdr:graphicFrame>
      <xdr:nvGraphicFramePr>
        <xdr:cNvPr id="1" name="Chart 2"/>
        <xdr:cNvGraphicFramePr/>
      </xdr:nvGraphicFramePr>
      <xdr:xfrm>
        <a:off x="6343560" y="3809880"/>
        <a:ext cx="467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40</xdr:row>
      <xdr:rowOff>160560</xdr:rowOff>
    </xdr:from>
    <xdr:to>
      <xdr:col>4</xdr:col>
      <xdr:colOff>191160</xdr:colOff>
      <xdr:row>55</xdr:row>
      <xdr:rowOff>182880</xdr:rowOff>
    </xdr:to>
    <xdr:graphicFrame>
      <xdr:nvGraphicFramePr>
        <xdr:cNvPr id="2" name="Chart 1"/>
        <xdr:cNvGraphicFramePr/>
      </xdr:nvGraphicFramePr>
      <xdr:xfrm>
        <a:off x="0" y="800100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10"/>
  </cols>
  <sheetData>
    <row r="1" customFormat="false" ht="22.0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5" t="str">
        <f aca="false">Assumptions!C6</f>
        <v>Base case</v>
      </c>
    </row>
    <row r="6" customFormat="false" ht="15" hidden="false" customHeight="false" outlineLevel="0" collapsed="false">
      <c r="A6" s="3" t="s">
        <v>5</v>
      </c>
      <c r="B6" s="4" t="s">
        <v>6</v>
      </c>
    </row>
    <row r="7" customFormat="false" ht="15" hidden="false" customHeight="false" outlineLevel="0" collapsed="false">
      <c r="A7" s="3" t="s">
        <v>7</v>
      </c>
      <c r="B7" s="4" t="s">
        <v>8</v>
      </c>
    </row>
    <row r="8" customFormat="false" ht="15" hidden="false" customHeight="false" outlineLevel="0" collapsed="false">
      <c r="A8" s="3" t="s">
        <v>9</v>
      </c>
      <c r="B8" s="4" t="s">
        <v>10</v>
      </c>
    </row>
    <row r="9" customFormat="false" ht="15" hidden="false" customHeight="false" outlineLevel="0" collapsed="false">
      <c r="A9" s="3"/>
      <c r="B9" s="4"/>
    </row>
    <row r="10" customFormat="false" ht="15" hidden="false" customHeight="false" outlineLevel="0" collapsed="false">
      <c r="A10" s="3" t="s">
        <v>11</v>
      </c>
      <c r="B10" s="4"/>
    </row>
    <row r="11" customFormat="false" ht="15" hidden="false" customHeight="false" outlineLevel="0" collapsed="false">
      <c r="A11" s="3" t="s">
        <v>12</v>
      </c>
      <c r="B11" s="4" t="s">
        <v>13</v>
      </c>
    </row>
    <row r="12" customFormat="false" ht="15" hidden="false" customHeight="false" outlineLevel="0" collapsed="false">
      <c r="A12" s="3" t="s">
        <v>14</v>
      </c>
      <c r="B12" s="4" t="s">
        <v>15</v>
      </c>
    </row>
    <row r="13" customFormat="false" ht="15" hidden="false" customHeight="false" outlineLevel="0" collapsed="false">
      <c r="A13" s="3" t="s">
        <v>16</v>
      </c>
      <c r="B13" s="4" t="s">
        <v>17</v>
      </c>
    </row>
    <row r="14" customFormat="false" ht="15" hidden="false" customHeight="false" outlineLevel="0" collapsed="false">
      <c r="A14" s="3" t="s">
        <v>18</v>
      </c>
      <c r="B14" s="4" t="s">
        <v>19</v>
      </c>
    </row>
    <row r="15" customFormat="false" ht="15" hidden="false" customHeight="false" outlineLevel="0" collapsed="false">
      <c r="A15" s="3" t="s">
        <v>20</v>
      </c>
      <c r="B15" s="4" t="s">
        <v>21</v>
      </c>
    </row>
    <row r="16" customFormat="false" ht="15" hidden="false" customHeight="false" outlineLevel="0" collapsed="false">
      <c r="A16" s="3" t="s">
        <v>22</v>
      </c>
      <c r="B16" s="4" t="s">
        <v>23</v>
      </c>
    </row>
    <row r="17" customFormat="false" ht="15" hidden="false" customHeight="false" outlineLevel="0" collapsed="false">
      <c r="A17" s="3"/>
      <c r="B17" s="4"/>
    </row>
    <row r="18" customFormat="false" ht="15" hidden="false" customHeight="false" outlineLevel="0" collapsed="false">
      <c r="A18" s="3" t="s">
        <v>24</v>
      </c>
      <c r="B18" s="4" t="s">
        <v>25</v>
      </c>
    </row>
    <row r="19" customFormat="false" ht="15" hidden="false" customHeight="false" outlineLevel="0" collapsed="false">
      <c r="A19" s="3" t="s">
        <v>26</v>
      </c>
      <c r="B19" s="4" t="s">
        <v>27</v>
      </c>
    </row>
    <row r="20" customFormat="false" ht="15" hidden="false" customHeight="false" outlineLevel="0" collapsed="false">
      <c r="A20" s="3" t="s">
        <v>28</v>
      </c>
      <c r="B20" s="4" t="s">
        <v>29</v>
      </c>
    </row>
    <row r="21" customFormat="false" ht="15" hidden="false" customHeight="false" outlineLevel="0" collapsed="false">
      <c r="A21" s="3" t="s">
        <v>30</v>
      </c>
      <c r="B21" s="5" t="str">
        <f aca="false">Checks!B13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1"/>
  </cols>
  <sheetData>
    <row r="1" customFormat="false" ht="17.35" hidden="false" customHeight="false" outlineLevel="0" collapsed="false">
      <c r="A1" s="6" t="s">
        <v>31</v>
      </c>
    </row>
    <row r="2" customFormat="false" ht="15" hidden="false" customHeight="false" outlineLevel="0" collapsed="false">
      <c r="A2" s="2" t="s">
        <v>32</v>
      </c>
    </row>
    <row r="3" customFormat="false" ht="15" hidden="false" customHeight="false" outlineLevel="0" collapsed="false">
      <c r="A3" s="3" t="str">
        <f aca="false">"Scenario: "&amp;Assumptions!C6</f>
        <v>Scenario: Base case</v>
      </c>
    </row>
    <row r="4" customFormat="false" ht="15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</row>
    <row r="5" customFormat="false" ht="15" hidden="false" customHeight="false" outlineLevel="0" collapsed="false">
      <c r="A5" s="4" t="s">
        <v>5</v>
      </c>
      <c r="B5" s="9" t="n">
        <f aca="false">'Income Statement'!B5</f>
        <v>51362</v>
      </c>
      <c r="C5" s="9" t="n">
        <f aca="false">'Income Statement'!C5</f>
        <v>46309</v>
      </c>
      <c r="D5" s="9" t="n">
        <f aca="false">'Income Statement'!D5</f>
        <v>46398</v>
      </c>
      <c r="E5" s="10" t="n">
        <f aca="false">'Income Statement'!E5</f>
        <v>42441.5</v>
      </c>
      <c r="F5" s="10" t="n">
        <f aca="false">'Income Statement'!F5</f>
        <v>43237.0646</v>
      </c>
      <c r="G5" s="10" t="n">
        <f aca="false">'Income Statement'!G5</f>
        <v>45140.246492</v>
      </c>
      <c r="H5" s="10" t="n">
        <f aca="false">'Income Statement'!H5</f>
        <v>47196.84009108</v>
      </c>
      <c r="I5" s="10" t="n">
        <f aca="false">'Income Statement'!I5</f>
        <v>49129.9747031382</v>
      </c>
    </row>
    <row r="6" customFormat="false" ht="15" hidden="false" customHeight="false" outlineLevel="0" collapsed="false">
      <c r="A6" s="4" t="s">
        <v>42</v>
      </c>
      <c r="B6" s="11"/>
      <c r="C6" s="11" t="n">
        <f aca="false">'Revenue Build'!C20</f>
        <v>-0.0983801253845256</v>
      </c>
      <c r="D6" s="11" t="n">
        <f aca="false">'Revenue Build'!D20</f>
        <v>0.00192187263814803</v>
      </c>
      <c r="E6" s="12" t="n">
        <f aca="false">'Revenue Build'!E20</f>
        <v>-0.0852730721151774</v>
      </c>
      <c r="F6" s="12" t="n">
        <f aca="false">'Revenue Build'!F20</f>
        <v>0.0187449689572707</v>
      </c>
      <c r="G6" s="12" t="n">
        <f aca="false">'Revenue Build'!G20</f>
        <v>0.0440173705039171</v>
      </c>
      <c r="H6" s="12" t="n">
        <f aca="false">'Revenue Build'!H20</f>
        <v>0.0455600879238549</v>
      </c>
      <c r="I6" s="12" t="n">
        <f aca="false">'Revenue Build'!I20</f>
        <v>0.0409589838711164</v>
      </c>
    </row>
    <row r="7" customFormat="false" ht="15" hidden="false" customHeight="false" outlineLevel="0" collapsed="false">
      <c r="A7" s="4" t="s">
        <v>43</v>
      </c>
      <c r="B7" s="11" t="n">
        <f aca="false">'Income Statement'!B22</f>
        <v>0.445601806783225</v>
      </c>
      <c r="C7" s="11" t="n">
        <f aca="false">'Income Statement'!C22</f>
        <v>0.427346736055626</v>
      </c>
      <c r="D7" s="11" t="n">
        <f aca="false">'Income Statement'!D22</f>
        <v>0.429134876503298</v>
      </c>
      <c r="E7" s="12" t="n">
        <f aca="false">'Income Statement'!E22</f>
        <v>0.425</v>
      </c>
      <c r="F7" s="12" t="n">
        <f aca="false">'Income Statement'!F22</f>
        <v>0.43</v>
      </c>
      <c r="G7" s="12" t="n">
        <f aca="false">'Income Statement'!G22</f>
        <v>0.435</v>
      </c>
      <c r="H7" s="12" t="n">
        <f aca="false">'Income Statement'!H22</f>
        <v>0.44</v>
      </c>
      <c r="I7" s="12" t="n">
        <f aca="false">'Income Statement'!I22</f>
        <v>0.445</v>
      </c>
    </row>
    <row r="8" customFormat="false" ht="15" hidden="false" customHeight="false" outlineLevel="0" collapsed="false">
      <c r="A8" s="4" t="s">
        <v>44</v>
      </c>
      <c r="B8" s="9" t="n">
        <f aca="false">'Income Statement'!B10</f>
        <v>6311</v>
      </c>
      <c r="C8" s="9" t="n">
        <f aca="false">'Income Statement'!C10</f>
        <v>3702</v>
      </c>
      <c r="D8" s="9" t="n">
        <f aca="false">'Income Statement'!D10</f>
        <v>3797</v>
      </c>
      <c r="E8" s="10" t="n">
        <f aca="false">'Income Statement'!E10</f>
        <v>1994.7505</v>
      </c>
      <c r="F8" s="10" t="n">
        <f aca="false">'Income Statement'!F10</f>
        <v>2940.1203928</v>
      </c>
      <c r="G8" s="10" t="n">
        <f aca="false">'Income Statement'!G10</f>
        <v>3882.061198312</v>
      </c>
      <c r="H8" s="10" t="n">
        <f aca="false">'Income Statement'!H10</f>
        <v>4719.684009108</v>
      </c>
      <c r="I8" s="10" t="n">
        <f aca="false">'Income Statement'!I10</f>
        <v>5453.42719204834</v>
      </c>
    </row>
    <row r="9" customFormat="false" ht="15" hidden="false" customHeight="false" outlineLevel="0" collapsed="false">
      <c r="A9" s="4" t="s">
        <v>45</v>
      </c>
      <c r="B9" s="11" t="n">
        <f aca="false">'Income Statement'!B25</f>
        <v>0.122872941084849</v>
      </c>
      <c r="C9" s="11" t="n">
        <f aca="false">'Income Statement'!C25</f>
        <v>0.0799412641171263</v>
      </c>
      <c r="D9" s="11" t="n">
        <f aca="false">'Income Statement'!D25</f>
        <v>0.0818354239406871</v>
      </c>
      <c r="E9" s="12" t="n">
        <f aca="false">'Income Statement'!E25</f>
        <v>0.047</v>
      </c>
      <c r="F9" s="12" t="n">
        <f aca="false">'Income Statement'!F25</f>
        <v>0.0679999999999999</v>
      </c>
      <c r="G9" s="12" t="n">
        <f aca="false">'Income Statement'!G25</f>
        <v>0.0860000000000001</v>
      </c>
      <c r="H9" s="12" t="n">
        <f aca="false">'Income Statement'!H25</f>
        <v>0.0999999999999999</v>
      </c>
      <c r="I9" s="12" t="n">
        <f aca="false">'Income Statement'!I25</f>
        <v>0.111</v>
      </c>
    </row>
    <row r="10" customFormat="false" ht="15" hidden="false" customHeight="false" outlineLevel="0" collapsed="false">
      <c r="A10" s="4" t="s">
        <v>46</v>
      </c>
      <c r="B10" s="9" t="n">
        <f aca="false">'Income Statement'!B15</f>
        <v>5700</v>
      </c>
      <c r="C10" s="9" t="n">
        <f aca="false">'Income Statement'!C15</f>
        <v>3219</v>
      </c>
      <c r="D10" s="9" t="n">
        <f aca="false">'Income Statement'!D15</f>
        <v>3108</v>
      </c>
      <c r="E10" s="10" t="n">
        <f aca="false">'Income Statement'!E15</f>
        <v>1614.342555</v>
      </c>
      <c r="F10" s="10" t="n">
        <f aca="false">'Income Statement'!F15</f>
        <v>2405.86606513503</v>
      </c>
      <c r="G10" s="10" t="n">
        <f aca="false">'Income Statement'!G15</f>
        <v>3175.05498876406</v>
      </c>
      <c r="H10" s="10" t="n">
        <f aca="false">'Income Statement'!H15</f>
        <v>3857.44867124394</v>
      </c>
      <c r="I10" s="10" t="n">
        <f aca="false">'Income Statement'!I15</f>
        <v>4437.15300970018</v>
      </c>
    </row>
    <row r="11" customFormat="false" ht="15" hidden="false" customHeight="false" outlineLevel="0" collapsed="false">
      <c r="A11" s="4" t="s">
        <v>47</v>
      </c>
      <c r="B11" s="13" t="n">
        <f aca="false">'Income Statement'!B18</f>
        <v>3.72622082761326</v>
      </c>
      <c r="C11" s="13" t="n">
        <f aca="false">'Income Statement'!C18</f>
        <v>2.16388814197365</v>
      </c>
      <c r="D11" s="13" t="n">
        <f aca="false">'Income Statement'!D18</f>
        <v>2.09858203916273</v>
      </c>
      <c r="E11" s="14" t="n">
        <f aca="false">'Income Statement'!E18</f>
        <v>1.08874898330804</v>
      </c>
      <c r="F11" s="14" t="n">
        <f aca="false">'Income Statement'!F18</f>
        <v>1.63210994299397</v>
      </c>
      <c r="G11" s="14" t="n">
        <f aca="false">'Income Statement'!G18</f>
        <v>2.18655149871843</v>
      </c>
      <c r="H11" s="14" t="n">
        <f aca="false">'Income Statement'!H18</f>
        <v>2.72682749304722</v>
      </c>
      <c r="I11" s="14" t="n">
        <f aca="false">'Income Statement'!I18</f>
        <v>3.23259503871925</v>
      </c>
    </row>
    <row r="12" customFormat="false" ht="15" hidden="false" customHeight="false" outlineLevel="0" collapsed="false">
      <c r="A12" s="4" t="s">
        <v>48</v>
      </c>
      <c r="B12" s="9" t="n">
        <f aca="false">'Cash Flow'!B15</f>
        <v>7429</v>
      </c>
      <c r="C12" s="9" t="n">
        <f aca="false">'Cash Flow'!C15</f>
        <v>3698</v>
      </c>
      <c r="D12" s="9" t="n">
        <f aca="false">'Cash Flow'!D15</f>
        <v>2868</v>
      </c>
      <c r="E12" s="10" t="n">
        <f aca="false">'Cash Flow'!E15</f>
        <v>3962.32607554795</v>
      </c>
      <c r="F12" s="10" t="n">
        <f aca="false">'Cash Flow'!F15</f>
        <v>4056.84168707476</v>
      </c>
      <c r="G12" s="10" t="n">
        <f aca="false">'Cash Flow'!G15</f>
        <v>4791.29072001118</v>
      </c>
      <c r="H12" s="10" t="n">
        <f aca="false">'Cash Flow'!H15</f>
        <v>5225.69238113624</v>
      </c>
      <c r="I12" s="10" t="n">
        <f aca="false">'Cash Flow'!I15</f>
        <v>5809.4681678019</v>
      </c>
    </row>
    <row r="13" customFormat="false" ht="15" hidden="false" customHeight="false" outlineLevel="0" collapsed="false">
      <c r="A13" s="4" t="s">
        <v>49</v>
      </c>
      <c r="B13" s="9" t="n">
        <f aca="false">'Cash Flow'!B35</f>
        <v>6617</v>
      </c>
      <c r="C13" s="9" t="n">
        <f aca="false">'Cash Flow'!C35</f>
        <v>3268</v>
      </c>
      <c r="D13" s="9" t="n">
        <f aca="false">'Cash Flow'!D35</f>
        <v>2184</v>
      </c>
      <c r="E13" s="10" t="n">
        <f aca="false">'Cash Flow'!E35</f>
        <v>3283.26207554795</v>
      </c>
      <c r="F13" s="10" t="n">
        <f aca="false">'Cash Flow'!F35</f>
        <v>3365.04865347476</v>
      </c>
      <c r="G13" s="10" t="n">
        <f aca="false">'Cash Flow'!G35</f>
        <v>4069.04677613918</v>
      </c>
      <c r="H13" s="10" t="n">
        <f aca="false">'Cash Flow'!H35</f>
        <v>4470.54293967896</v>
      </c>
      <c r="I13" s="10" t="n">
        <f aca="false">'Cash Flow'!I35</f>
        <v>5023.38857255169</v>
      </c>
    </row>
    <row r="14" customFormat="false" ht="15" hidden="false" customHeight="false" outlineLevel="0" collapsed="false">
      <c r="A14" s="4" t="s">
        <v>50</v>
      </c>
      <c r="B14" s="9" t="n">
        <f aca="false">'Cash Flow'!B36</f>
        <v>6419</v>
      </c>
      <c r="C14" s="9" t="n">
        <f aca="false">'Cash Flow'!C36</f>
        <v>5285</v>
      </c>
      <c r="D14" s="9" t="n">
        <f aca="false">'Cash Flow'!D36</f>
        <v>2553</v>
      </c>
      <c r="E14" s="10" t="n">
        <f aca="false">'Cash Flow'!E36</f>
        <v>2659.84419311276</v>
      </c>
      <c r="F14" s="10" t="n">
        <f aca="false">'Cash Flow'!F36</f>
        <v>3145.75866531623</v>
      </c>
      <c r="G14" s="10" t="n">
        <f aca="false">'Cash Flow'!G36</f>
        <v>3930.80318759847</v>
      </c>
      <c r="H14" s="10" t="n">
        <f aca="false">'Cash Flow'!H36</f>
        <v>4986.50906756031</v>
      </c>
      <c r="I14" s="10" t="n">
        <f aca="false">'Cash Flow'!I36</f>
        <v>5533.31945068174</v>
      </c>
    </row>
    <row r="15" customFormat="false" ht="15" hidden="false" customHeight="false" outlineLevel="0" collapsed="false">
      <c r="A15" s="4" t="s">
        <v>51</v>
      </c>
      <c r="B15" s="9" t="n">
        <f aca="false">'Balance Sheet'!B6+'Balance Sheet'!B7</f>
        <v>11582</v>
      </c>
      <c r="C15" s="9" t="n">
        <f aca="false">'Balance Sheet'!C6+'Balance Sheet'!C7</f>
        <v>9151</v>
      </c>
      <c r="D15" s="9" t="n">
        <f aca="false">'Balance Sheet'!D6+'Balance Sheet'!D7</f>
        <v>9027</v>
      </c>
      <c r="E15" s="10" t="n">
        <f aca="false">'Balance Sheet'!E6+'Balance Sheet'!E7</f>
        <v>7650.41788243518</v>
      </c>
      <c r="F15" s="10" t="n">
        <f aca="false">'Balance Sheet'!F6+'Balance Sheet'!F7</f>
        <v>7869.70787059372</v>
      </c>
      <c r="G15" s="10" t="n">
        <f aca="false">'Balance Sheet'!G6+'Balance Sheet'!G7</f>
        <v>8007.95145913443</v>
      </c>
      <c r="H15" s="10" t="n">
        <f aca="false">'Balance Sheet'!H6+'Balance Sheet'!H7</f>
        <v>7491.98533125308</v>
      </c>
      <c r="I15" s="10" t="n">
        <f aca="false">'Balance Sheet'!I6+'Balance Sheet'!I7</f>
        <v>6982.05445312302</v>
      </c>
    </row>
    <row r="16" customFormat="false" ht="15" hidden="false" customHeight="false" outlineLevel="0" collapsed="false">
      <c r="A16" s="4" t="s">
        <v>52</v>
      </c>
      <c r="B16" s="9" t="n">
        <f aca="false">'Balance Sheet'!B19+'Balance Sheet'!B25</f>
        <v>8909</v>
      </c>
      <c r="C16" s="9" t="n">
        <f aca="false">'Balance Sheet'!C19+'Balance Sheet'!C25</f>
        <v>7966</v>
      </c>
      <c r="D16" s="9" t="n">
        <f aca="false">'Balance Sheet'!D19+'Balance Sheet'!D25</f>
        <v>7942</v>
      </c>
      <c r="E16" s="10" t="n">
        <f aca="false">'Balance Sheet'!E19+'Balance Sheet'!E25</f>
        <v>5942</v>
      </c>
      <c r="F16" s="10" t="n">
        <f aca="false">'Balance Sheet'!F19+'Balance Sheet'!F25</f>
        <v>5942</v>
      </c>
      <c r="G16" s="10" t="n">
        <f aca="false">'Balance Sheet'!G19+'Balance Sheet'!G25</f>
        <v>5942</v>
      </c>
      <c r="H16" s="10" t="n">
        <f aca="false">'Balance Sheet'!H19+'Balance Sheet'!H25</f>
        <v>5942</v>
      </c>
      <c r="I16" s="10" t="n">
        <f aca="false">'Balance Sheet'!I19+'Balance Sheet'!I25</f>
        <v>5942</v>
      </c>
    </row>
    <row r="17" customFormat="false" ht="15" hidden="false" customHeight="false" outlineLevel="0" collapsed="false">
      <c r="B17" s="15"/>
      <c r="C17" s="15"/>
      <c r="D17" s="15"/>
      <c r="E17" s="15"/>
      <c r="F17" s="15"/>
      <c r="G17" s="15"/>
      <c r="H17" s="15"/>
      <c r="I17" s="15"/>
    </row>
    <row r="18" customFormat="false" ht="15" hidden="false" customHeight="false" outlineLevel="0" collapsed="false">
      <c r="A18" s="3" t="s">
        <v>30</v>
      </c>
      <c r="B18" s="3" t="str">
        <f aca="false">Checks!B13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9" min="2" style="0" width="11"/>
  </cols>
  <sheetData>
    <row r="1" customFormat="false" ht="17.35" hidden="false" customHeight="false" outlineLevel="0" collapsed="false">
      <c r="A1" s="6" t="s">
        <v>14</v>
      </c>
    </row>
    <row r="2" customFormat="false" ht="15" hidden="false" customHeight="false" outlineLevel="0" collapsed="false">
      <c r="A2" s="2" t="s">
        <v>53</v>
      </c>
    </row>
    <row r="4" customFormat="false" ht="15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</row>
    <row r="6" customFormat="false" ht="15" hidden="false" customHeight="false" outlineLevel="0" collapsed="false">
      <c r="A6" s="3" t="s">
        <v>54</v>
      </c>
      <c r="B6" s="16" t="n">
        <v>1</v>
      </c>
      <c r="C6" s="3" t="str">
        <f aca="false">CHOOSE(B6,"Base case","Upside case","Downside case")</f>
        <v>Base case</v>
      </c>
    </row>
    <row r="8" customFormat="false" ht="15" hidden="false" customHeight="false" outlineLevel="0" collapsed="false">
      <c r="A8" s="17" t="s">
        <v>55</v>
      </c>
      <c r="B8" s="18"/>
      <c r="C8" s="18"/>
      <c r="D8" s="18"/>
      <c r="E8" s="18"/>
      <c r="F8" s="18"/>
      <c r="G8" s="18"/>
      <c r="H8" s="18"/>
      <c r="I8" s="18"/>
    </row>
    <row r="9" customFormat="false" ht="15" hidden="false" customHeight="false" outlineLevel="0" collapsed="false">
      <c r="A9" s="4" t="s">
        <v>56</v>
      </c>
      <c r="B9" s="19"/>
      <c r="C9" s="19"/>
      <c r="D9" s="19"/>
      <c r="E9" s="20" t="n">
        <f aca="false">CHOOSE(Assumptions!$B$6,E16,E23,E30)</f>
        <v>-0.06</v>
      </c>
      <c r="F9" s="20" t="n">
        <f aca="false">CHOOSE(Assumptions!$B$6,F16,F23,F30)</f>
        <v>0.03</v>
      </c>
      <c r="G9" s="20" t="n">
        <f aca="false">CHOOSE(Assumptions!$B$6,G16,G23,G30)</f>
        <v>0.05</v>
      </c>
      <c r="H9" s="20" t="n">
        <f aca="false">CHOOSE(Assumptions!$B$6,H16,H23,H30)</f>
        <v>0.05</v>
      </c>
      <c r="I9" s="20" t="n">
        <f aca="false">CHOOSE(Assumptions!$B$6,I16,I23,I30)</f>
        <v>0.04</v>
      </c>
    </row>
    <row r="10" customFormat="false" ht="15" hidden="false" customHeight="false" outlineLevel="0" collapsed="false">
      <c r="A10" s="4" t="s">
        <v>57</v>
      </c>
      <c r="B10" s="19"/>
      <c r="C10" s="19"/>
      <c r="D10" s="19"/>
      <c r="E10" s="20" t="n">
        <f aca="false">CHOOSE(Assumptions!$B$6,E17,E24,E31)</f>
        <v>-0.08</v>
      </c>
      <c r="F10" s="20" t="n">
        <f aca="false">CHOOSE(Assumptions!$B$6,F17,F24,F31)</f>
        <v>0.02</v>
      </c>
      <c r="G10" s="20" t="n">
        <f aca="false">CHOOSE(Assumptions!$B$6,G17,G24,G31)</f>
        <v>0.04</v>
      </c>
      <c r="H10" s="20" t="n">
        <f aca="false">CHOOSE(Assumptions!$B$6,H17,H24,H31)</f>
        <v>0.04</v>
      </c>
      <c r="I10" s="20" t="n">
        <f aca="false">CHOOSE(Assumptions!$B$6,I17,I24,I31)</f>
        <v>0.04</v>
      </c>
    </row>
    <row r="11" customFormat="false" ht="15" hidden="false" customHeight="false" outlineLevel="0" collapsed="false">
      <c r="A11" s="4" t="s">
        <v>58</v>
      </c>
      <c r="B11" s="19"/>
      <c r="C11" s="19"/>
      <c r="D11" s="19"/>
      <c r="E11" s="20" t="n">
        <f aca="false">CHOOSE(Assumptions!$B$6,E18,E25,E32)</f>
        <v>-0.2</v>
      </c>
      <c r="F11" s="20" t="n">
        <f aca="false">CHOOSE(Assumptions!$B$6,F18,F25,F32)</f>
        <v>-0.03</v>
      </c>
      <c r="G11" s="20" t="n">
        <f aca="false">CHOOSE(Assumptions!$B$6,G18,G25,G32)</f>
        <v>0.03</v>
      </c>
      <c r="H11" s="20" t="n">
        <f aca="false">CHOOSE(Assumptions!$B$6,H18,H25,H32)</f>
        <v>0.04</v>
      </c>
      <c r="I11" s="20" t="n">
        <f aca="false">CHOOSE(Assumptions!$B$6,I18,I25,I32)</f>
        <v>0.04</v>
      </c>
    </row>
    <row r="12" customFormat="false" ht="15" hidden="false" customHeight="false" outlineLevel="0" collapsed="false">
      <c r="A12" s="4" t="s">
        <v>59</v>
      </c>
      <c r="B12" s="19"/>
      <c r="C12" s="19"/>
      <c r="D12" s="19"/>
      <c r="E12" s="20" t="n">
        <f aca="false">CHOOSE(Assumptions!$B$6,E19,E26,E33)</f>
        <v>-0.06</v>
      </c>
      <c r="F12" s="20" t="n">
        <f aca="false">CHOOSE(Assumptions!$B$6,F19,F26,F33)</f>
        <v>0.03</v>
      </c>
      <c r="G12" s="20" t="n">
        <f aca="false">CHOOSE(Assumptions!$B$6,G19,G26,G33)</f>
        <v>0.05</v>
      </c>
      <c r="H12" s="20" t="n">
        <f aca="false">CHOOSE(Assumptions!$B$6,H19,H26,H33)</f>
        <v>0.05</v>
      </c>
      <c r="I12" s="20" t="n">
        <f aca="false">CHOOSE(Assumptions!$B$6,I19,I26,I33)</f>
        <v>0.05</v>
      </c>
    </row>
    <row r="13" customFormat="false" ht="15" hidden="false" customHeight="false" outlineLevel="0" collapsed="false">
      <c r="A13" s="4" t="s">
        <v>60</v>
      </c>
      <c r="B13" s="19"/>
      <c r="C13" s="19"/>
      <c r="D13" s="19"/>
      <c r="E13" s="20" t="n">
        <f aca="false">CHOOSE(Assumptions!$B$6,E20,E27,E34)</f>
        <v>-0.15</v>
      </c>
      <c r="F13" s="20" t="n">
        <f aca="false">CHOOSE(Assumptions!$B$6,F20,F27,F34)</f>
        <v>-0.05</v>
      </c>
      <c r="G13" s="20" t="n">
        <f aca="false">CHOOSE(Assumptions!$B$6,G20,G27,G34)</f>
        <v>0</v>
      </c>
      <c r="H13" s="20" t="n">
        <f aca="false">CHOOSE(Assumptions!$B$6,H20,H27,H34)</f>
        <v>0.02</v>
      </c>
      <c r="I13" s="20" t="n">
        <f aca="false">CHOOSE(Assumptions!$B$6,I20,I27,I34)</f>
        <v>0.02</v>
      </c>
    </row>
    <row r="15" customFormat="false" ht="15" hidden="false" customHeight="false" outlineLevel="0" collapsed="false">
      <c r="A15" s="17" t="s">
        <v>61</v>
      </c>
      <c r="B15" s="18"/>
      <c r="C15" s="18"/>
      <c r="D15" s="18"/>
      <c r="E15" s="18"/>
      <c r="F15" s="18"/>
      <c r="G15" s="18"/>
      <c r="H15" s="18"/>
      <c r="I15" s="18"/>
    </row>
    <row r="16" customFormat="false" ht="15" hidden="false" customHeight="false" outlineLevel="0" collapsed="false">
      <c r="A16" s="4" t="s">
        <v>56</v>
      </c>
      <c r="B16" s="19"/>
      <c r="C16" s="19"/>
      <c r="D16" s="19"/>
      <c r="E16" s="21" t="n">
        <v>-0.06</v>
      </c>
      <c r="F16" s="21" t="n">
        <v>0.03</v>
      </c>
      <c r="G16" s="21" t="n">
        <v>0.05</v>
      </c>
      <c r="H16" s="21" t="n">
        <v>0.05</v>
      </c>
      <c r="I16" s="21" t="n">
        <v>0.04</v>
      </c>
    </row>
    <row r="17" customFormat="false" ht="15" hidden="false" customHeight="false" outlineLevel="0" collapsed="false">
      <c r="A17" s="4" t="s">
        <v>57</v>
      </c>
      <c r="B17" s="19"/>
      <c r="C17" s="19"/>
      <c r="D17" s="19"/>
      <c r="E17" s="21" t="n">
        <v>-0.08</v>
      </c>
      <c r="F17" s="21" t="n">
        <v>0.02</v>
      </c>
      <c r="G17" s="21" t="n">
        <v>0.04</v>
      </c>
      <c r="H17" s="21" t="n">
        <v>0.04</v>
      </c>
      <c r="I17" s="21" t="n">
        <v>0.04</v>
      </c>
    </row>
    <row r="18" customFormat="false" ht="15" hidden="false" customHeight="false" outlineLevel="0" collapsed="false">
      <c r="A18" s="4" t="s">
        <v>58</v>
      </c>
      <c r="B18" s="19"/>
      <c r="C18" s="19"/>
      <c r="D18" s="19"/>
      <c r="E18" s="21" t="n">
        <v>-0.2</v>
      </c>
      <c r="F18" s="21" t="n">
        <v>-0.03</v>
      </c>
      <c r="G18" s="21" t="n">
        <v>0.03</v>
      </c>
      <c r="H18" s="21" t="n">
        <v>0.04</v>
      </c>
      <c r="I18" s="21" t="n">
        <v>0.04</v>
      </c>
    </row>
    <row r="19" customFormat="false" ht="15" hidden="false" customHeight="false" outlineLevel="0" collapsed="false">
      <c r="A19" s="4" t="s">
        <v>59</v>
      </c>
      <c r="B19" s="19"/>
      <c r="C19" s="19"/>
      <c r="D19" s="19"/>
      <c r="E19" s="21" t="n">
        <v>-0.06</v>
      </c>
      <c r="F19" s="21" t="n">
        <v>0.03</v>
      </c>
      <c r="G19" s="21" t="n">
        <v>0.05</v>
      </c>
      <c r="H19" s="21" t="n">
        <v>0.05</v>
      </c>
      <c r="I19" s="21" t="n">
        <v>0.05</v>
      </c>
    </row>
    <row r="20" customFormat="false" ht="15" hidden="false" customHeight="false" outlineLevel="0" collapsed="false">
      <c r="A20" s="4" t="s">
        <v>60</v>
      </c>
      <c r="B20" s="19"/>
      <c r="C20" s="19"/>
      <c r="D20" s="19"/>
      <c r="E20" s="21" t="n">
        <v>-0.15</v>
      </c>
      <c r="F20" s="21" t="n">
        <v>-0.05</v>
      </c>
      <c r="G20" s="21" t="n">
        <v>0</v>
      </c>
      <c r="H20" s="21" t="n">
        <v>0.02</v>
      </c>
      <c r="I20" s="21" t="n">
        <v>0.02</v>
      </c>
    </row>
    <row r="22" customFormat="false" ht="15" hidden="false" customHeight="false" outlineLevel="0" collapsed="false">
      <c r="A22" s="17" t="s">
        <v>62</v>
      </c>
      <c r="B22" s="18"/>
      <c r="C22" s="18"/>
      <c r="D22" s="18"/>
      <c r="E22" s="18"/>
      <c r="F22" s="18"/>
      <c r="G22" s="18"/>
      <c r="H22" s="18"/>
      <c r="I22" s="18"/>
    </row>
    <row r="23" customFormat="false" ht="15" hidden="false" customHeight="false" outlineLevel="0" collapsed="false">
      <c r="A23" s="4" t="s">
        <v>56</v>
      </c>
      <c r="B23" s="19"/>
      <c r="C23" s="19"/>
      <c r="D23" s="19"/>
      <c r="E23" s="21" t="n">
        <v>-0.03</v>
      </c>
      <c r="F23" s="21" t="n">
        <v>0.05</v>
      </c>
      <c r="G23" s="21" t="n">
        <v>0.07</v>
      </c>
      <c r="H23" s="21" t="n">
        <v>0.06</v>
      </c>
      <c r="I23" s="21" t="n">
        <v>0.05</v>
      </c>
    </row>
    <row r="24" customFormat="false" ht="15" hidden="false" customHeight="false" outlineLevel="0" collapsed="false">
      <c r="A24" s="4" t="s">
        <v>57</v>
      </c>
      <c r="B24" s="19"/>
      <c r="C24" s="19"/>
      <c r="D24" s="19"/>
      <c r="E24" s="21" t="n">
        <v>-0.05</v>
      </c>
      <c r="F24" s="21" t="n">
        <v>0.04</v>
      </c>
      <c r="G24" s="21" t="n">
        <v>0.06</v>
      </c>
      <c r="H24" s="21" t="n">
        <v>0.05</v>
      </c>
      <c r="I24" s="21" t="n">
        <v>0.05</v>
      </c>
    </row>
    <row r="25" customFormat="false" ht="15" hidden="false" customHeight="false" outlineLevel="0" collapsed="false">
      <c r="A25" s="4" t="s">
        <v>58</v>
      </c>
      <c r="B25" s="19"/>
      <c r="C25" s="19"/>
      <c r="D25" s="19"/>
      <c r="E25" s="21" t="n">
        <v>-0.15</v>
      </c>
      <c r="F25" s="21" t="n">
        <v>0.03</v>
      </c>
      <c r="G25" s="21" t="n">
        <v>0.06</v>
      </c>
      <c r="H25" s="21" t="n">
        <v>0.06</v>
      </c>
      <c r="I25" s="21" t="n">
        <v>0.05</v>
      </c>
    </row>
    <row r="26" customFormat="false" ht="15" hidden="false" customHeight="false" outlineLevel="0" collapsed="false">
      <c r="A26" s="4" t="s">
        <v>59</v>
      </c>
      <c r="B26" s="19"/>
      <c r="C26" s="19"/>
      <c r="D26" s="19"/>
      <c r="E26" s="21" t="n">
        <v>-0.03</v>
      </c>
      <c r="F26" s="21" t="n">
        <v>0.05</v>
      </c>
      <c r="G26" s="21" t="n">
        <v>0.07</v>
      </c>
      <c r="H26" s="21" t="n">
        <v>0.07</v>
      </c>
      <c r="I26" s="21" t="n">
        <v>0.06</v>
      </c>
    </row>
    <row r="27" customFormat="false" ht="15" hidden="false" customHeight="false" outlineLevel="0" collapsed="false">
      <c r="A27" s="4" t="s">
        <v>60</v>
      </c>
      <c r="B27" s="19"/>
      <c r="C27" s="19"/>
      <c r="D27" s="19"/>
      <c r="E27" s="21" t="n">
        <v>-0.1</v>
      </c>
      <c r="F27" s="21" t="n">
        <v>0</v>
      </c>
      <c r="G27" s="21" t="n">
        <v>0.03</v>
      </c>
      <c r="H27" s="21" t="n">
        <v>0.04</v>
      </c>
      <c r="I27" s="21" t="n">
        <v>0.03</v>
      </c>
    </row>
    <row r="29" customFormat="false" ht="15" hidden="false" customHeight="false" outlineLevel="0" collapsed="false">
      <c r="A29" s="17" t="s">
        <v>63</v>
      </c>
      <c r="B29" s="18"/>
      <c r="C29" s="18"/>
      <c r="D29" s="18"/>
      <c r="E29" s="18"/>
      <c r="F29" s="18"/>
      <c r="G29" s="18"/>
      <c r="H29" s="18"/>
      <c r="I29" s="18"/>
    </row>
    <row r="30" customFormat="false" ht="15" hidden="false" customHeight="false" outlineLevel="0" collapsed="false">
      <c r="A30" s="4" t="s">
        <v>56</v>
      </c>
      <c r="B30" s="19"/>
      <c r="C30" s="19"/>
      <c r="D30" s="19"/>
      <c r="E30" s="21" t="n">
        <v>-0.09</v>
      </c>
      <c r="F30" s="21" t="n">
        <v>0</v>
      </c>
      <c r="G30" s="21" t="n">
        <v>0.02</v>
      </c>
      <c r="H30" s="21" t="n">
        <v>0.03</v>
      </c>
      <c r="I30" s="21" t="n">
        <v>0.03</v>
      </c>
    </row>
    <row r="31" customFormat="false" ht="15" hidden="false" customHeight="false" outlineLevel="0" collapsed="false">
      <c r="A31" s="4" t="s">
        <v>57</v>
      </c>
      <c r="B31" s="19"/>
      <c r="C31" s="19"/>
      <c r="D31" s="19"/>
      <c r="E31" s="21" t="n">
        <v>-0.11</v>
      </c>
      <c r="F31" s="21" t="n">
        <v>-0.02</v>
      </c>
      <c r="G31" s="21" t="n">
        <v>0.01</v>
      </c>
      <c r="H31" s="21" t="n">
        <v>0.02</v>
      </c>
      <c r="I31" s="21" t="n">
        <v>0.02</v>
      </c>
    </row>
    <row r="32" customFormat="false" ht="15" hidden="false" customHeight="false" outlineLevel="0" collapsed="false">
      <c r="A32" s="4" t="s">
        <v>58</v>
      </c>
      <c r="B32" s="19"/>
      <c r="C32" s="19"/>
      <c r="D32" s="19"/>
      <c r="E32" s="21" t="n">
        <v>-0.26</v>
      </c>
      <c r="F32" s="21" t="n">
        <v>-0.1</v>
      </c>
      <c r="G32" s="21" t="n">
        <v>-0.03</v>
      </c>
      <c r="H32" s="21" t="n">
        <v>0</v>
      </c>
      <c r="I32" s="21" t="n">
        <v>0.01</v>
      </c>
    </row>
    <row r="33" customFormat="false" ht="15" hidden="false" customHeight="false" outlineLevel="0" collapsed="false">
      <c r="A33" s="4" t="s">
        <v>59</v>
      </c>
      <c r="B33" s="19"/>
      <c r="C33" s="19"/>
      <c r="D33" s="19"/>
      <c r="E33" s="21" t="n">
        <v>-0.09</v>
      </c>
      <c r="F33" s="21" t="n">
        <v>0</v>
      </c>
      <c r="G33" s="21" t="n">
        <v>0.02</v>
      </c>
      <c r="H33" s="21" t="n">
        <v>0.03</v>
      </c>
      <c r="I33" s="21" t="n">
        <v>0.03</v>
      </c>
    </row>
    <row r="34" customFormat="false" ht="15" hidden="false" customHeight="false" outlineLevel="0" collapsed="false">
      <c r="A34" s="4" t="s">
        <v>60</v>
      </c>
      <c r="B34" s="19"/>
      <c r="C34" s="19"/>
      <c r="D34" s="19"/>
      <c r="E34" s="21" t="n">
        <v>-0.2</v>
      </c>
      <c r="F34" s="21" t="n">
        <v>-0.1</v>
      </c>
      <c r="G34" s="21" t="n">
        <v>-0.03</v>
      </c>
      <c r="H34" s="21" t="n">
        <v>0</v>
      </c>
      <c r="I34" s="21" t="n">
        <v>0</v>
      </c>
    </row>
    <row r="36" customFormat="false" ht="15" hidden="false" customHeight="false" outlineLevel="0" collapsed="false">
      <c r="A36" s="4" t="s">
        <v>64</v>
      </c>
      <c r="B36" s="22"/>
      <c r="C36" s="22"/>
      <c r="D36" s="22"/>
      <c r="E36" s="23" t="n">
        <v>51</v>
      </c>
      <c r="F36" s="23" t="n">
        <v>51</v>
      </c>
      <c r="G36" s="23" t="n">
        <v>51</v>
      </c>
      <c r="H36" s="23" t="n">
        <v>51</v>
      </c>
      <c r="I36" s="23" t="n">
        <v>51</v>
      </c>
    </row>
    <row r="38" customFormat="false" ht="15" hidden="false" customHeight="false" outlineLevel="0" collapsed="false">
      <c r="A38" s="17" t="s">
        <v>65</v>
      </c>
      <c r="B38" s="18"/>
      <c r="C38" s="18"/>
      <c r="D38" s="18"/>
      <c r="E38" s="18"/>
      <c r="F38" s="18"/>
      <c r="G38" s="18"/>
      <c r="H38" s="18"/>
      <c r="I38" s="18"/>
    </row>
    <row r="39" customFormat="false" ht="15" hidden="false" customHeight="false" outlineLevel="0" collapsed="false">
      <c r="A39" s="4" t="s">
        <v>66</v>
      </c>
      <c r="B39" s="19"/>
      <c r="C39" s="19"/>
      <c r="D39" s="19"/>
      <c r="E39" s="21" t="n">
        <v>0.425</v>
      </c>
      <c r="F39" s="21" t="n">
        <v>0.43</v>
      </c>
      <c r="G39" s="21" t="n">
        <v>0.435</v>
      </c>
      <c r="H39" s="21" t="n">
        <v>0.44</v>
      </c>
      <c r="I39" s="21" t="n">
        <v>0.445</v>
      </c>
    </row>
    <row r="40" customFormat="false" ht="15" hidden="false" customHeight="false" outlineLevel="0" collapsed="false">
      <c r="A40" s="4" t="s">
        <v>67</v>
      </c>
      <c r="B40" s="19"/>
      <c r="C40" s="19"/>
      <c r="D40" s="19"/>
      <c r="E40" s="21" t="n">
        <v>0.43</v>
      </c>
      <c r="F40" s="21" t="n">
        <v>0.44</v>
      </c>
      <c r="G40" s="21" t="n">
        <v>0.45</v>
      </c>
      <c r="H40" s="21" t="n">
        <v>0.455</v>
      </c>
      <c r="I40" s="21" t="n">
        <v>0.46</v>
      </c>
    </row>
    <row r="41" customFormat="false" ht="15" hidden="false" customHeight="false" outlineLevel="0" collapsed="false">
      <c r="A41" s="4" t="s">
        <v>68</v>
      </c>
      <c r="B41" s="19"/>
      <c r="C41" s="19"/>
      <c r="D41" s="19"/>
      <c r="E41" s="21" t="n">
        <v>0.42</v>
      </c>
      <c r="F41" s="21" t="n">
        <v>0.42</v>
      </c>
      <c r="G41" s="21" t="n">
        <v>0.425</v>
      </c>
      <c r="H41" s="21" t="n">
        <v>0.43</v>
      </c>
      <c r="I41" s="21" t="n">
        <v>0.43</v>
      </c>
    </row>
    <row r="42" customFormat="false" ht="15" hidden="false" customHeight="false" outlineLevel="0" collapsed="false">
      <c r="A42" s="3" t="s">
        <v>69</v>
      </c>
      <c r="B42" s="19"/>
      <c r="C42" s="19"/>
      <c r="D42" s="19"/>
      <c r="E42" s="24" t="n">
        <f aca="false">CHOOSE(Assumptions!$B$6,E39,E40,E41)</f>
        <v>0.425</v>
      </c>
      <c r="F42" s="24" t="n">
        <f aca="false">CHOOSE(Assumptions!$B$6,F39,F40,F41)</f>
        <v>0.43</v>
      </c>
      <c r="G42" s="24" t="n">
        <f aca="false">CHOOSE(Assumptions!$B$6,G39,G40,G41)</f>
        <v>0.435</v>
      </c>
      <c r="H42" s="24" t="n">
        <f aca="false">CHOOSE(Assumptions!$B$6,H39,H40,H41)</f>
        <v>0.44</v>
      </c>
      <c r="I42" s="24" t="n">
        <f aca="false">CHOOSE(Assumptions!$B$6,I39,I40,I41)</f>
        <v>0.445</v>
      </c>
    </row>
    <row r="43" customFormat="false" ht="15" hidden="false" customHeight="false" outlineLevel="0" collapsed="false">
      <c r="A43" s="4" t="s">
        <v>70</v>
      </c>
      <c r="B43" s="19"/>
      <c r="C43" s="19"/>
      <c r="D43" s="19"/>
      <c r="E43" s="25" t="n">
        <v>0.105</v>
      </c>
      <c r="F43" s="25" t="n">
        <v>0.102</v>
      </c>
      <c r="G43" s="25" t="n">
        <v>0.099</v>
      </c>
      <c r="H43" s="25" t="n">
        <v>0.097</v>
      </c>
      <c r="I43" s="25" t="n">
        <v>0.096</v>
      </c>
    </row>
    <row r="44" customFormat="false" ht="15" hidden="false" customHeight="false" outlineLevel="0" collapsed="false">
      <c r="A44" s="4" t="s">
        <v>71</v>
      </c>
      <c r="B44" s="19"/>
      <c r="C44" s="19"/>
      <c r="D44" s="19"/>
      <c r="E44" s="25" t="n">
        <v>0.273</v>
      </c>
      <c r="F44" s="25" t="n">
        <v>0.26</v>
      </c>
      <c r="G44" s="25" t="n">
        <v>0.25</v>
      </c>
      <c r="H44" s="25" t="n">
        <v>0.243</v>
      </c>
      <c r="I44" s="25" t="n">
        <v>0.238</v>
      </c>
    </row>
    <row r="45" customFormat="false" ht="15" hidden="false" customHeight="false" outlineLevel="0" collapsed="false">
      <c r="A45" s="4" t="s">
        <v>72</v>
      </c>
      <c r="B45" s="19"/>
      <c r="C45" s="19"/>
      <c r="D45" s="19"/>
      <c r="E45" s="21" t="n">
        <v>0.016</v>
      </c>
      <c r="F45" s="21" t="n">
        <v>0.016</v>
      </c>
      <c r="G45" s="21" t="n">
        <v>0.016</v>
      </c>
      <c r="H45" s="21" t="n">
        <v>0.016</v>
      </c>
      <c r="I45" s="21" t="n">
        <v>0.016</v>
      </c>
    </row>
    <row r="46" customFormat="false" ht="15" hidden="false" customHeight="false" outlineLevel="0" collapsed="false">
      <c r="A46" s="4" t="s">
        <v>73</v>
      </c>
      <c r="B46" s="19"/>
      <c r="C46" s="19"/>
      <c r="D46" s="19"/>
      <c r="E46" s="21" t="n">
        <v>0.015</v>
      </c>
      <c r="F46" s="21" t="n">
        <v>0.015</v>
      </c>
      <c r="G46" s="21" t="n">
        <v>0.015</v>
      </c>
      <c r="H46" s="21" t="n">
        <v>0.015</v>
      </c>
      <c r="I46" s="21" t="n">
        <v>0.015</v>
      </c>
    </row>
    <row r="47" customFormat="false" ht="15" hidden="false" customHeight="false" outlineLevel="0" collapsed="false">
      <c r="A47" s="4" t="s">
        <v>74</v>
      </c>
      <c r="B47" s="19"/>
      <c r="C47" s="19"/>
      <c r="D47" s="19"/>
      <c r="E47" s="21" t="n">
        <v>0.016</v>
      </c>
      <c r="F47" s="21" t="n">
        <v>0.016</v>
      </c>
      <c r="G47" s="21" t="n">
        <v>0.016</v>
      </c>
      <c r="H47" s="21" t="n">
        <v>0.016</v>
      </c>
      <c r="I47" s="21" t="n">
        <v>0.016</v>
      </c>
    </row>
    <row r="49" customFormat="false" ht="15" hidden="false" customHeight="false" outlineLevel="0" collapsed="false">
      <c r="A49" s="17" t="s">
        <v>75</v>
      </c>
      <c r="B49" s="18"/>
      <c r="C49" s="18"/>
      <c r="D49" s="18"/>
      <c r="E49" s="18"/>
      <c r="F49" s="18"/>
      <c r="G49" s="18"/>
      <c r="H49" s="18"/>
      <c r="I49" s="18"/>
    </row>
    <row r="50" customFormat="false" ht="15" hidden="false" customHeight="false" outlineLevel="0" collapsed="false">
      <c r="A50" s="4" t="s">
        <v>76</v>
      </c>
      <c r="B50" s="19"/>
      <c r="C50" s="19"/>
      <c r="D50" s="19"/>
      <c r="E50" s="21" t="n">
        <v>0.19</v>
      </c>
      <c r="F50" s="21" t="n">
        <v>0.19</v>
      </c>
      <c r="G50" s="21" t="n">
        <v>0.19</v>
      </c>
      <c r="H50" s="21" t="n">
        <v>0.19</v>
      </c>
      <c r="I50" s="21" t="n">
        <v>0.19</v>
      </c>
    </row>
    <row r="51" customFormat="false" ht="15" hidden="false" customHeight="false" outlineLevel="0" collapsed="false">
      <c r="A51" s="4" t="s">
        <v>77</v>
      </c>
      <c r="B51" s="19"/>
      <c r="C51" s="19"/>
      <c r="D51" s="19"/>
      <c r="E51" s="21" t="n">
        <v>0.04</v>
      </c>
      <c r="F51" s="21" t="n">
        <v>0.04</v>
      </c>
      <c r="G51" s="21" t="n">
        <v>0.04</v>
      </c>
      <c r="H51" s="21" t="n">
        <v>0.04</v>
      </c>
      <c r="I51" s="21" t="n">
        <v>0.04</v>
      </c>
    </row>
    <row r="52" customFormat="false" ht="15" hidden="false" customHeight="false" outlineLevel="0" collapsed="false">
      <c r="A52" s="4" t="s">
        <v>78</v>
      </c>
      <c r="B52" s="19"/>
      <c r="C52" s="19"/>
      <c r="D52" s="19"/>
      <c r="E52" s="21" t="n">
        <v>0.035</v>
      </c>
      <c r="F52" s="21" t="n">
        <v>0.035</v>
      </c>
      <c r="G52" s="21" t="n">
        <v>0.035</v>
      </c>
      <c r="H52" s="21" t="n">
        <v>0.035</v>
      </c>
      <c r="I52" s="21" t="n">
        <v>0.035</v>
      </c>
    </row>
    <row r="54" customFormat="false" ht="15" hidden="false" customHeight="false" outlineLevel="0" collapsed="false">
      <c r="A54" s="17" t="s">
        <v>79</v>
      </c>
      <c r="B54" s="18"/>
      <c r="C54" s="18"/>
      <c r="D54" s="18"/>
      <c r="E54" s="18"/>
      <c r="F54" s="18"/>
      <c r="G54" s="18"/>
      <c r="H54" s="18"/>
      <c r="I54" s="18"/>
    </row>
    <row r="55" customFormat="false" ht="15" hidden="false" customHeight="false" outlineLevel="0" collapsed="false">
      <c r="A55" s="4" t="s">
        <v>80</v>
      </c>
      <c r="B55" s="26"/>
      <c r="C55" s="26"/>
      <c r="D55" s="26"/>
      <c r="E55" s="27" t="n">
        <v>44</v>
      </c>
      <c r="F55" s="27" t="n">
        <v>42</v>
      </c>
      <c r="G55" s="27" t="n">
        <v>40</v>
      </c>
      <c r="H55" s="27" t="n">
        <v>40</v>
      </c>
      <c r="I55" s="27" t="n">
        <v>40</v>
      </c>
    </row>
    <row r="56" customFormat="false" ht="15" hidden="false" customHeight="false" outlineLevel="0" collapsed="false">
      <c r="A56" s="4" t="s">
        <v>81</v>
      </c>
      <c r="B56" s="26"/>
      <c r="C56" s="26"/>
      <c r="D56" s="26"/>
      <c r="E56" s="27" t="n">
        <v>100</v>
      </c>
      <c r="F56" s="27" t="n">
        <v>98</v>
      </c>
      <c r="G56" s="27" t="n">
        <v>96</v>
      </c>
      <c r="H56" s="27" t="n">
        <v>95</v>
      </c>
      <c r="I56" s="27" t="n">
        <v>95</v>
      </c>
    </row>
    <row r="57" customFormat="false" ht="15" hidden="false" customHeight="false" outlineLevel="0" collapsed="false">
      <c r="A57" s="4" t="s">
        <v>82</v>
      </c>
      <c r="B57" s="26"/>
      <c r="C57" s="26"/>
      <c r="D57" s="26"/>
      <c r="E57" s="27" t="n">
        <v>50</v>
      </c>
      <c r="F57" s="27" t="n">
        <v>50</v>
      </c>
      <c r="G57" s="27" t="n">
        <v>50</v>
      </c>
      <c r="H57" s="27" t="n">
        <v>50</v>
      </c>
      <c r="I57" s="27" t="n">
        <v>50</v>
      </c>
    </row>
    <row r="58" customFormat="false" ht="15" hidden="false" customHeight="false" outlineLevel="0" collapsed="false">
      <c r="A58" s="4" t="s">
        <v>83</v>
      </c>
      <c r="B58" s="19"/>
      <c r="C58" s="19"/>
      <c r="D58" s="19"/>
      <c r="E58" s="21" t="n">
        <v>0.046</v>
      </c>
      <c r="F58" s="21" t="n">
        <v>0.046</v>
      </c>
      <c r="G58" s="21" t="n">
        <v>0.046</v>
      </c>
      <c r="H58" s="21" t="n">
        <v>0.046</v>
      </c>
      <c r="I58" s="21" t="n">
        <v>0.046</v>
      </c>
    </row>
    <row r="59" customFormat="false" ht="15" hidden="false" customHeight="false" outlineLevel="0" collapsed="false">
      <c r="A59" s="4" t="s">
        <v>84</v>
      </c>
      <c r="B59" s="19"/>
      <c r="C59" s="19"/>
      <c r="D59" s="19"/>
      <c r="E59" s="21" t="n">
        <v>0.131</v>
      </c>
      <c r="F59" s="21" t="n">
        <v>0.131</v>
      </c>
      <c r="G59" s="21" t="n">
        <v>0.131</v>
      </c>
      <c r="H59" s="21" t="n">
        <v>0.131</v>
      </c>
      <c r="I59" s="21" t="n">
        <v>0.131</v>
      </c>
    </row>
    <row r="61" customFormat="false" ht="15" hidden="false" customHeight="false" outlineLevel="0" collapsed="false">
      <c r="A61" s="17" t="s">
        <v>85</v>
      </c>
      <c r="B61" s="18"/>
      <c r="C61" s="18"/>
      <c r="D61" s="18"/>
      <c r="E61" s="18"/>
      <c r="F61" s="18"/>
      <c r="G61" s="18"/>
      <c r="H61" s="18"/>
      <c r="I61" s="18"/>
    </row>
    <row r="62" customFormat="false" ht="15" hidden="false" customHeight="false" outlineLevel="0" collapsed="false">
      <c r="A62" s="4" t="s">
        <v>86</v>
      </c>
      <c r="B62" s="22"/>
      <c r="C62" s="22"/>
      <c r="D62" s="22"/>
      <c r="E62" s="23" t="n">
        <v>2000</v>
      </c>
      <c r="F62" s="23" t="n">
        <v>0</v>
      </c>
      <c r="G62" s="23" t="n">
        <v>0</v>
      </c>
      <c r="H62" s="23" t="n">
        <v>0</v>
      </c>
      <c r="I62" s="23" t="n">
        <v>0</v>
      </c>
    </row>
    <row r="63" customFormat="false" ht="15" hidden="false" customHeight="false" outlineLevel="0" collapsed="false">
      <c r="A63" s="4" t="s">
        <v>87</v>
      </c>
      <c r="B63" s="19"/>
      <c r="C63" s="19"/>
      <c r="D63" s="19"/>
      <c r="E63" s="21" t="n">
        <v>0</v>
      </c>
      <c r="F63" s="21" t="n">
        <v>0</v>
      </c>
      <c r="G63" s="21" t="n">
        <v>0.03</v>
      </c>
      <c r="H63" s="21" t="n">
        <v>0.05</v>
      </c>
      <c r="I63" s="21" t="n">
        <v>0.05</v>
      </c>
    </row>
    <row r="64" customFormat="false" ht="15" hidden="false" customHeight="false" outlineLevel="0" collapsed="false">
      <c r="A64" s="4" t="s">
        <v>88</v>
      </c>
      <c r="B64" s="22"/>
      <c r="C64" s="22"/>
      <c r="D64" s="22"/>
      <c r="E64" s="23" t="n">
        <v>250</v>
      </c>
      <c r="F64" s="23" t="n">
        <v>750</v>
      </c>
      <c r="G64" s="23" t="n">
        <v>1500</v>
      </c>
      <c r="H64" s="23" t="n">
        <v>2500</v>
      </c>
      <c r="I64" s="23" t="n">
        <v>3000</v>
      </c>
    </row>
    <row r="65" customFormat="false" ht="15" hidden="false" customHeight="false" outlineLevel="0" collapsed="false">
      <c r="A65" s="4" t="s">
        <v>89</v>
      </c>
      <c r="B65" s="28"/>
      <c r="C65" s="28"/>
      <c r="D65" s="28"/>
      <c r="E65" s="29" t="n">
        <v>40</v>
      </c>
      <c r="F65" s="29" t="n">
        <v>45</v>
      </c>
      <c r="G65" s="29" t="n">
        <v>50</v>
      </c>
      <c r="H65" s="29" t="n">
        <v>55</v>
      </c>
      <c r="I65" s="29" t="n">
        <v>60</v>
      </c>
    </row>
    <row r="66" customFormat="false" ht="15" hidden="false" customHeight="false" outlineLevel="0" collapsed="false">
      <c r="A66" s="4" t="s">
        <v>90</v>
      </c>
      <c r="B66" s="30"/>
      <c r="C66" s="30"/>
      <c r="D66" s="30"/>
      <c r="E66" s="31" t="n">
        <v>8</v>
      </c>
      <c r="F66" s="31" t="n">
        <v>8</v>
      </c>
      <c r="G66" s="31" t="n">
        <v>8</v>
      </c>
      <c r="H66" s="31" t="n">
        <v>8</v>
      </c>
      <c r="I66" s="31" t="n">
        <v>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1"/>
  </cols>
  <sheetData>
    <row r="1" customFormat="false" ht="17.35" hidden="false" customHeight="false" outlineLevel="0" collapsed="false">
      <c r="A1" s="6" t="s">
        <v>91</v>
      </c>
    </row>
    <row r="2" customFormat="false" ht="15" hidden="false" customHeight="false" outlineLevel="0" collapsed="false">
      <c r="A2" s="2" t="s">
        <v>92</v>
      </c>
    </row>
    <row r="4" customFormat="false" ht="15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</row>
    <row r="5" customFormat="false" ht="15" hidden="false" customHeight="false" outlineLevel="0" collapsed="false">
      <c r="A5" s="17" t="s">
        <v>93</v>
      </c>
      <c r="B5" s="18"/>
      <c r="C5" s="18"/>
      <c r="D5" s="18"/>
      <c r="E5" s="18"/>
      <c r="F5" s="18"/>
      <c r="G5" s="18"/>
      <c r="H5" s="18"/>
      <c r="I5" s="18"/>
    </row>
    <row r="6" customFormat="false" ht="15" hidden="false" customHeight="false" outlineLevel="0" collapsed="false">
      <c r="A6" s="4" t="s">
        <v>56</v>
      </c>
      <c r="B6" s="22"/>
      <c r="C6" s="32" t="n">
        <v>19572</v>
      </c>
      <c r="D6" s="32" t="n">
        <v>20511</v>
      </c>
      <c r="E6" s="33" t="n">
        <f aca="false">D6*(1+Assumptions!E9)</f>
        <v>19280.34</v>
      </c>
      <c r="F6" s="33" t="n">
        <f aca="false">E6*(1+Assumptions!F9)</f>
        <v>19858.7502</v>
      </c>
      <c r="G6" s="33" t="n">
        <f aca="false">F6*(1+Assumptions!G9)</f>
        <v>20851.68771</v>
      </c>
      <c r="H6" s="33" t="n">
        <f aca="false">G6*(1+Assumptions!H9)</f>
        <v>21894.2720955</v>
      </c>
      <c r="I6" s="33" t="n">
        <f aca="false">H6*(1+Assumptions!I9)</f>
        <v>22770.04297932</v>
      </c>
    </row>
    <row r="7" customFormat="false" ht="15" hidden="false" customHeight="false" outlineLevel="0" collapsed="false">
      <c r="A7" s="4" t="s">
        <v>57</v>
      </c>
      <c r="B7" s="22"/>
      <c r="C7" s="32" t="n">
        <v>12257</v>
      </c>
      <c r="D7" s="32" t="n">
        <v>12572</v>
      </c>
      <c r="E7" s="33" t="n">
        <f aca="false">D7*(1+Assumptions!E10)</f>
        <v>11566.24</v>
      </c>
      <c r="F7" s="33" t="n">
        <f aca="false">E7*(1+Assumptions!F10)</f>
        <v>11797.5648</v>
      </c>
      <c r="G7" s="33" t="n">
        <f aca="false">F7*(1+Assumptions!G10)</f>
        <v>12269.467392</v>
      </c>
      <c r="H7" s="33" t="n">
        <f aca="false">G7*(1+Assumptions!H10)</f>
        <v>12760.24608768</v>
      </c>
      <c r="I7" s="33" t="n">
        <f aca="false">H7*(1+Assumptions!I10)</f>
        <v>13270.6559311872</v>
      </c>
    </row>
    <row r="8" customFormat="false" ht="15" hidden="false" customHeight="false" outlineLevel="0" collapsed="false">
      <c r="A8" s="4" t="s">
        <v>58</v>
      </c>
      <c r="B8" s="22"/>
      <c r="C8" s="32" t="n">
        <v>6586</v>
      </c>
      <c r="D8" s="32" t="n">
        <v>5847</v>
      </c>
      <c r="E8" s="33" t="n">
        <f aca="false">D8*(1+Assumptions!E11)</f>
        <v>4677.6</v>
      </c>
      <c r="F8" s="33" t="n">
        <f aca="false">E8*(1+Assumptions!F11)</f>
        <v>4537.272</v>
      </c>
      <c r="G8" s="33" t="n">
        <f aca="false">F8*(1+Assumptions!G11)</f>
        <v>4673.39016</v>
      </c>
      <c r="H8" s="33" t="n">
        <f aca="false">G8*(1+Assumptions!H11)</f>
        <v>4860.3257664</v>
      </c>
      <c r="I8" s="33" t="n">
        <f aca="false">H8*(1+Assumptions!I11)</f>
        <v>5054.738797056</v>
      </c>
    </row>
    <row r="9" customFormat="false" ht="15" hidden="false" customHeight="false" outlineLevel="0" collapsed="false">
      <c r="A9" s="4" t="s">
        <v>59</v>
      </c>
      <c r="B9" s="22"/>
      <c r="C9" s="32" t="n">
        <v>6251</v>
      </c>
      <c r="D9" s="32" t="n">
        <v>6243</v>
      </c>
      <c r="E9" s="33" t="n">
        <f aca="false">D9*(1+Assumptions!E12)</f>
        <v>5868.42</v>
      </c>
      <c r="F9" s="33" t="n">
        <f aca="false">E9*(1+Assumptions!F12)</f>
        <v>6044.4726</v>
      </c>
      <c r="G9" s="33" t="n">
        <f aca="false">F9*(1+Assumptions!G12)</f>
        <v>6346.69623</v>
      </c>
      <c r="H9" s="33" t="n">
        <f aca="false">G9*(1+Assumptions!H12)</f>
        <v>6664.0310415</v>
      </c>
      <c r="I9" s="33" t="n">
        <f aca="false">H9*(1+Assumptions!I12)</f>
        <v>6997.232593575</v>
      </c>
    </row>
    <row r="10" customFormat="false" ht="15" hidden="false" customHeight="false" outlineLevel="0" collapsed="false">
      <c r="A10" s="4" t="s">
        <v>60</v>
      </c>
      <c r="B10" s="22"/>
      <c r="C10" s="32" t="n">
        <v>1692</v>
      </c>
      <c r="D10" s="32" t="n">
        <v>1174</v>
      </c>
      <c r="E10" s="33" t="n">
        <f aca="false">D10*(1+Assumptions!E13)</f>
        <v>997.9</v>
      </c>
      <c r="F10" s="33" t="n">
        <f aca="false">E10*(1+Assumptions!F13)</f>
        <v>948.005</v>
      </c>
      <c r="G10" s="33" t="n">
        <f aca="false">F10*(1+Assumptions!G13)</f>
        <v>948.005</v>
      </c>
      <c r="H10" s="33" t="n">
        <f aca="false">G10*(1+Assumptions!H13)</f>
        <v>966.9651</v>
      </c>
      <c r="I10" s="33" t="n">
        <f aca="false">H10*(1+Assumptions!I13)</f>
        <v>986.304402</v>
      </c>
    </row>
    <row r="11" customFormat="false" ht="15" hidden="false" customHeight="false" outlineLevel="0" collapsed="false">
      <c r="A11" s="4" t="s">
        <v>94</v>
      </c>
      <c r="B11" s="22"/>
      <c r="C11" s="32" t="n">
        <v>-49</v>
      </c>
      <c r="D11" s="32" t="n">
        <v>51</v>
      </c>
      <c r="E11" s="10" t="n">
        <f aca="false">Assumptions!E36</f>
        <v>51</v>
      </c>
      <c r="F11" s="10" t="n">
        <f aca="false">Assumptions!F36</f>
        <v>51</v>
      </c>
      <c r="G11" s="10" t="n">
        <f aca="false">Assumptions!G36</f>
        <v>51</v>
      </c>
      <c r="H11" s="10" t="n">
        <f aca="false">Assumptions!H36</f>
        <v>51</v>
      </c>
      <c r="I11" s="10" t="n">
        <f aca="false">Assumptions!I36</f>
        <v>51</v>
      </c>
    </row>
    <row r="12" customFormat="false" ht="15" hidden="false" customHeight="false" outlineLevel="0" collapsed="false">
      <c r="A12" s="3" t="s">
        <v>95</v>
      </c>
      <c r="B12" s="34" t="n">
        <v>51362</v>
      </c>
      <c r="C12" s="35" t="n">
        <f aca="false">SUM(C6:C11)</f>
        <v>46309</v>
      </c>
      <c r="D12" s="35" t="n">
        <f aca="false">SUM(D6:D11)</f>
        <v>46398</v>
      </c>
      <c r="E12" s="36" t="n">
        <f aca="false">SUM(E6:E11)</f>
        <v>42441.5</v>
      </c>
      <c r="F12" s="36" t="n">
        <f aca="false">SUM(F6:F11)</f>
        <v>43237.0646</v>
      </c>
      <c r="G12" s="36" t="n">
        <f aca="false">SUM(G6:G11)</f>
        <v>45140.246492</v>
      </c>
      <c r="H12" s="36" t="n">
        <f aca="false">SUM(H6:H11)</f>
        <v>47196.84009108</v>
      </c>
      <c r="I12" s="36" t="n">
        <f aca="false">SUM(I6:I11)</f>
        <v>49129.9747031382</v>
      </c>
    </row>
    <row r="14" customFormat="false" ht="15" hidden="false" customHeight="false" outlineLevel="0" collapsed="false">
      <c r="A14" s="17" t="s">
        <v>96</v>
      </c>
      <c r="B14" s="18"/>
      <c r="C14" s="18"/>
      <c r="D14" s="18"/>
      <c r="E14" s="18"/>
      <c r="F14" s="18"/>
      <c r="G14" s="18"/>
      <c r="H14" s="18"/>
      <c r="I14" s="18"/>
    </row>
    <row r="15" customFormat="false" ht="15" hidden="false" customHeight="false" outlineLevel="0" collapsed="false">
      <c r="A15" s="4" t="s">
        <v>56</v>
      </c>
      <c r="B15" s="19"/>
      <c r="C15" s="19"/>
      <c r="D15" s="19" t="n">
        <f aca="false">D6/C6-1</f>
        <v>0.0479767014101777</v>
      </c>
      <c r="E15" s="37" t="n">
        <f aca="false">E6/D6-1</f>
        <v>-0.0599999999999999</v>
      </c>
      <c r="F15" s="37" t="n">
        <f aca="false">F6/E6-1</f>
        <v>0.03</v>
      </c>
      <c r="G15" s="37" t="n">
        <f aca="false">G6/F6-1</f>
        <v>0.05</v>
      </c>
      <c r="H15" s="37" t="n">
        <f aca="false">H6/G6-1</f>
        <v>0.05</v>
      </c>
      <c r="I15" s="37" t="n">
        <f aca="false">I6/H6-1</f>
        <v>0.04</v>
      </c>
    </row>
    <row r="16" customFormat="false" ht="15" hidden="false" customHeight="false" outlineLevel="0" collapsed="false">
      <c r="A16" s="4" t="s">
        <v>57</v>
      </c>
      <c r="B16" s="19"/>
      <c r="C16" s="19"/>
      <c r="D16" s="19" t="n">
        <f aca="false">D7/C7-1</f>
        <v>0.0256996002284409</v>
      </c>
      <c r="E16" s="37" t="n">
        <f aca="false">E7/D7-1</f>
        <v>-0.0800000000000001</v>
      </c>
      <c r="F16" s="37" t="n">
        <f aca="false">F7/E7-1</f>
        <v>0.02</v>
      </c>
      <c r="G16" s="37" t="n">
        <f aca="false">G7/F7-1</f>
        <v>0.04</v>
      </c>
      <c r="H16" s="37" t="n">
        <f aca="false">H7/G7-1</f>
        <v>0.04</v>
      </c>
      <c r="I16" s="37" t="n">
        <f aca="false">I7/H7-1</f>
        <v>0.04</v>
      </c>
    </row>
    <row r="17" customFormat="false" ht="15" hidden="false" customHeight="false" outlineLevel="0" collapsed="false">
      <c r="A17" s="4" t="s">
        <v>58</v>
      </c>
      <c r="B17" s="19"/>
      <c r="C17" s="19"/>
      <c r="D17" s="19" t="n">
        <f aca="false">D8/C8-1</f>
        <v>-0.112207713331309</v>
      </c>
      <c r="E17" s="37" t="n">
        <f aca="false">E8/D8-1</f>
        <v>-0.2</v>
      </c>
      <c r="F17" s="37" t="n">
        <f aca="false">F8/E8-1</f>
        <v>-0.0300000000000001</v>
      </c>
      <c r="G17" s="37" t="n">
        <f aca="false">G8/F8-1</f>
        <v>0.03</v>
      </c>
      <c r="H17" s="37" t="n">
        <f aca="false">H8/G8-1</f>
        <v>0.04</v>
      </c>
      <c r="I17" s="37" t="n">
        <f aca="false">I8/H8-1</f>
        <v>0.04</v>
      </c>
    </row>
    <row r="18" customFormat="false" ht="15" hidden="false" customHeight="false" outlineLevel="0" collapsed="false">
      <c r="A18" s="4" t="s">
        <v>59</v>
      </c>
      <c r="B18" s="19"/>
      <c r="C18" s="19"/>
      <c r="D18" s="19" t="n">
        <f aca="false">D9/C9-1</f>
        <v>-0.00127979523276278</v>
      </c>
      <c r="E18" s="37" t="n">
        <f aca="false">E9/D9-1</f>
        <v>-0.0599999999999999</v>
      </c>
      <c r="F18" s="37" t="n">
        <f aca="false">F9/E9-1</f>
        <v>0.03</v>
      </c>
      <c r="G18" s="37" t="n">
        <f aca="false">G9/F9-1</f>
        <v>0.05</v>
      </c>
      <c r="H18" s="37" t="n">
        <f aca="false">H9/G9-1</f>
        <v>0.05</v>
      </c>
      <c r="I18" s="37" t="n">
        <f aca="false">I9/H9-1</f>
        <v>0.05</v>
      </c>
    </row>
    <row r="19" customFormat="false" ht="15" hidden="false" customHeight="false" outlineLevel="0" collapsed="false">
      <c r="A19" s="4" t="s">
        <v>60</v>
      </c>
      <c r="B19" s="19"/>
      <c r="C19" s="19"/>
      <c r="D19" s="19" t="n">
        <f aca="false">D10/C10-1</f>
        <v>-0.306146572104019</v>
      </c>
      <c r="E19" s="37" t="n">
        <f aca="false">E10/D10-1</f>
        <v>-0.15</v>
      </c>
      <c r="F19" s="37" t="n">
        <f aca="false">F10/E10-1</f>
        <v>-0.05</v>
      </c>
      <c r="G19" s="37" t="n">
        <f aca="false">G10/F10-1</f>
        <v>0</v>
      </c>
      <c r="H19" s="37" t="n">
        <f aca="false">H10/G10-1</f>
        <v>0.02</v>
      </c>
      <c r="I19" s="37" t="n">
        <f aca="false">I10/H10-1</f>
        <v>0.02</v>
      </c>
    </row>
    <row r="20" customFormat="false" ht="15" hidden="false" customHeight="false" outlineLevel="0" collapsed="false">
      <c r="A20" s="3" t="s">
        <v>97</v>
      </c>
      <c r="B20" s="38"/>
      <c r="C20" s="38" t="n">
        <f aca="false">C12/B12-1</f>
        <v>-0.0983801253845256</v>
      </c>
      <c r="D20" s="38" t="n">
        <f aca="false">D12/C12-1</f>
        <v>0.00192187263814803</v>
      </c>
      <c r="E20" s="20" t="n">
        <f aca="false">E12/D12-1</f>
        <v>-0.0852730721151774</v>
      </c>
      <c r="F20" s="20" t="n">
        <f aca="false">F12/E12-1</f>
        <v>0.0187449689572707</v>
      </c>
      <c r="G20" s="20" t="n">
        <f aca="false">G12/F12-1</f>
        <v>0.0440173705039171</v>
      </c>
      <c r="H20" s="20" t="n">
        <f aca="false">H12/G12-1</f>
        <v>0.0455600879238549</v>
      </c>
      <c r="I20" s="20" t="n">
        <f aca="false">I12/H12-1</f>
        <v>0.0409589838711164</v>
      </c>
    </row>
    <row r="22" customFormat="false" ht="15" hidden="false" customHeight="false" outlineLevel="0" collapsed="false">
      <c r="A22" s="17" t="s">
        <v>98</v>
      </c>
      <c r="B22" s="18"/>
      <c r="C22" s="18"/>
      <c r="D22" s="18"/>
      <c r="E22" s="18"/>
      <c r="F22" s="18"/>
      <c r="G22" s="18"/>
      <c r="H22" s="18"/>
      <c r="I22" s="18"/>
    </row>
    <row r="23" customFormat="false" ht="15" hidden="false" customHeight="false" outlineLevel="0" collapsed="false">
      <c r="A23" s="4" t="s">
        <v>56</v>
      </c>
      <c r="B23" s="19"/>
      <c r="C23" s="19" t="n">
        <f aca="false">C6/C12</f>
        <v>0.422639227795893</v>
      </c>
      <c r="D23" s="19" t="n">
        <f aca="false">D6/D12</f>
        <v>0.442066468382258</v>
      </c>
      <c r="E23" s="37" t="n">
        <f aca="false">E6/E12</f>
        <v>0.45428036238116</v>
      </c>
      <c r="F23" s="37" t="n">
        <f aca="false">F6/F12</f>
        <v>0.459299223564775</v>
      </c>
      <c r="G23" s="37" t="n">
        <f aca="false">G6/G12</f>
        <v>0.461931188472696</v>
      </c>
      <c r="H23" s="37" t="n">
        <f aca="false">H6/H12</f>
        <v>0.463892753270106</v>
      </c>
      <c r="I23" s="37" t="n">
        <f aca="false">I6/I12</f>
        <v>0.46346539188968</v>
      </c>
    </row>
    <row r="24" customFormat="false" ht="15" hidden="false" customHeight="false" outlineLevel="0" collapsed="false">
      <c r="A24" s="4" t="s">
        <v>57</v>
      </c>
      <c r="B24" s="19"/>
      <c r="C24" s="19" t="n">
        <f aca="false">C7/C12</f>
        <v>0.264678572199788</v>
      </c>
      <c r="D24" s="19" t="n">
        <f aca="false">D7/D12</f>
        <v>0.270959955170482</v>
      </c>
      <c r="E24" s="37" t="n">
        <f aca="false">E7/E12</f>
        <v>0.272521941967178</v>
      </c>
      <c r="F24" s="37" t="n">
        <f aca="false">F7/F12</f>
        <v>0.27285767221117</v>
      </c>
      <c r="G24" s="37" t="n">
        <f aca="false">G7/G12</f>
        <v>0.271807718067611</v>
      </c>
      <c r="H24" s="37" t="n">
        <f aca="false">H7/H12</f>
        <v>0.270362296777823</v>
      </c>
      <c r="I24" s="37" t="n">
        <f aca="false">I7/I12</f>
        <v>0.27011322540615</v>
      </c>
    </row>
    <row r="25" customFormat="false" ht="15" hidden="false" customHeight="false" outlineLevel="0" collapsed="false">
      <c r="A25" s="4" t="s">
        <v>58</v>
      </c>
      <c r="B25" s="19"/>
      <c r="C25" s="19" t="n">
        <f aca="false">C8/C12</f>
        <v>0.142218575222959</v>
      </c>
      <c r="D25" s="19" t="n">
        <f aca="false">D8/D12</f>
        <v>0.126018362860468</v>
      </c>
      <c r="E25" s="37" t="n">
        <f aca="false">E8/E12</f>
        <v>0.110212881260087</v>
      </c>
      <c r="F25" s="37" t="n">
        <f aca="false">F8/F12</f>
        <v>0.104939408860795</v>
      </c>
      <c r="G25" s="37" t="n">
        <f aca="false">G8/G12</f>
        <v>0.103530452826133</v>
      </c>
      <c r="H25" s="37" t="n">
        <f aca="false">H8/H12</f>
        <v>0.10297989774359</v>
      </c>
      <c r="I25" s="37" t="n">
        <f aca="false">I8/I12</f>
        <v>0.102885027472508</v>
      </c>
    </row>
    <row r="26" customFormat="false" ht="15" hidden="false" customHeight="false" outlineLevel="0" collapsed="false">
      <c r="A26" s="4" t="s">
        <v>59</v>
      </c>
      <c r="B26" s="19"/>
      <c r="C26" s="19" t="n">
        <f aca="false">C9/C12</f>
        <v>0.134984560236671</v>
      </c>
      <c r="D26" s="19" t="n">
        <f aca="false">D9/D12</f>
        <v>0.134553213500582</v>
      </c>
      <c r="E26" s="37" t="n">
        <f aca="false">E9/E12</f>
        <v>0.138270796272516</v>
      </c>
      <c r="F26" s="37" t="n">
        <f aca="false">F9/F12</f>
        <v>0.139798403428155</v>
      </c>
      <c r="G26" s="37" t="n">
        <f aca="false">G9/G12</f>
        <v>0.140599503175615</v>
      </c>
      <c r="H26" s="37" t="n">
        <f aca="false">H9/H12</f>
        <v>0.141196551053838</v>
      </c>
      <c r="I26" s="37" t="n">
        <f aca="false">I9/I12</f>
        <v>0.142422882076673</v>
      </c>
    </row>
    <row r="27" customFormat="false" ht="15" hidden="false" customHeight="false" outlineLevel="0" collapsed="false">
      <c r="A27" s="4" t="s">
        <v>60</v>
      </c>
      <c r="B27" s="19"/>
      <c r="C27" s="19" t="n">
        <f aca="false">C10/C12</f>
        <v>0.0365371741993997</v>
      </c>
      <c r="D27" s="19" t="n">
        <f aca="false">D10/D12</f>
        <v>0.025302814776499</v>
      </c>
      <c r="E27" s="37" t="n">
        <f aca="false">E10/E12</f>
        <v>0.0235123640776127</v>
      </c>
      <c r="F27" s="37" t="n">
        <f aca="false">F10/F12</f>
        <v>0.0219257484005979</v>
      </c>
      <c r="G27" s="37" t="n">
        <f aca="false">G10/G12</f>
        <v>0.0210013252844778</v>
      </c>
      <c r="H27" s="37" t="n">
        <f aca="false">H10/H12</f>
        <v>0.0204879203381828</v>
      </c>
      <c r="I27" s="37" t="n">
        <f aca="false">I10/I12</f>
        <v>0.0200754103367572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1"/>
  </cols>
  <sheetData>
    <row r="1" customFormat="false" ht="17.35" hidden="false" customHeight="false" outlineLevel="0" collapsed="false">
      <c r="A1" s="6" t="s">
        <v>99</v>
      </c>
    </row>
    <row r="2" customFormat="false" ht="15" hidden="false" customHeight="false" outlineLevel="0" collapsed="false">
      <c r="A2" s="2" t="s">
        <v>100</v>
      </c>
    </row>
    <row r="4" customFormat="false" ht="15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</row>
    <row r="5" customFormat="false" ht="15" hidden="false" customHeight="false" outlineLevel="0" collapsed="false">
      <c r="A5" s="4" t="s">
        <v>101</v>
      </c>
      <c r="B5" s="32" t="n">
        <v>51362</v>
      </c>
      <c r="C5" s="32" t="n">
        <v>46309</v>
      </c>
      <c r="D5" s="32" t="n">
        <v>46398</v>
      </c>
      <c r="E5" s="10" t="n">
        <f aca="false">'Revenue Build'!E12</f>
        <v>42441.5</v>
      </c>
      <c r="F5" s="10" t="n">
        <f aca="false">'Revenue Build'!F12</f>
        <v>43237.0646</v>
      </c>
      <c r="G5" s="10" t="n">
        <f aca="false">'Revenue Build'!G12</f>
        <v>45140.246492</v>
      </c>
      <c r="H5" s="10" t="n">
        <f aca="false">'Revenue Build'!H12</f>
        <v>47196.84009108</v>
      </c>
      <c r="I5" s="10" t="n">
        <f aca="false">'Revenue Build'!I12</f>
        <v>49129.9747031382</v>
      </c>
    </row>
    <row r="6" customFormat="false" ht="15" hidden="false" customHeight="false" outlineLevel="0" collapsed="false">
      <c r="A6" s="4" t="s">
        <v>102</v>
      </c>
      <c r="B6" s="32" t="n">
        <v>28475</v>
      </c>
      <c r="C6" s="32" t="n">
        <v>26519</v>
      </c>
      <c r="D6" s="32" t="n">
        <v>26487</v>
      </c>
      <c r="E6" s="10" t="n">
        <f aca="false">E5*(1-Assumptions!E42)</f>
        <v>24403.8625</v>
      </c>
      <c r="F6" s="10" t="n">
        <f aca="false">F5*(1-Assumptions!F42)</f>
        <v>24645.126822</v>
      </c>
      <c r="G6" s="10" t="n">
        <f aca="false">G5*(1-Assumptions!G42)</f>
        <v>25504.23926798</v>
      </c>
      <c r="H6" s="10" t="n">
        <f aca="false">H5*(1-Assumptions!H42)</f>
        <v>26430.2304510048</v>
      </c>
      <c r="I6" s="10" t="n">
        <f aca="false">I5*(1-Assumptions!I42)</f>
        <v>27267.1359602417</v>
      </c>
    </row>
    <row r="7" customFormat="false" ht="15" hidden="false" customHeight="false" outlineLevel="0" collapsed="false">
      <c r="A7" s="3" t="s">
        <v>103</v>
      </c>
      <c r="B7" s="35" t="n">
        <f aca="false">B5-B6</f>
        <v>22887</v>
      </c>
      <c r="C7" s="35" t="n">
        <f aca="false">C5-C6</f>
        <v>19790</v>
      </c>
      <c r="D7" s="35" t="n">
        <f aca="false">D5-D6</f>
        <v>19911</v>
      </c>
      <c r="E7" s="36" t="n">
        <f aca="false">E5-E6</f>
        <v>18037.6375</v>
      </c>
      <c r="F7" s="36" t="n">
        <f aca="false">F5-F6</f>
        <v>18591.937778</v>
      </c>
      <c r="G7" s="36" t="n">
        <f aca="false">G5-G6</f>
        <v>19636.00722402</v>
      </c>
      <c r="H7" s="36" t="n">
        <f aca="false">H5-H6</f>
        <v>20766.6096400752</v>
      </c>
      <c r="I7" s="36" t="n">
        <f aca="false">I5-I6</f>
        <v>21862.8387428965</v>
      </c>
    </row>
    <row r="8" customFormat="false" ht="15" hidden="false" customHeight="false" outlineLevel="0" collapsed="false">
      <c r="A8" s="4" t="s">
        <v>104</v>
      </c>
      <c r="B8" s="32" t="n">
        <v>4285</v>
      </c>
      <c r="C8" s="32" t="n">
        <v>4689</v>
      </c>
      <c r="D8" s="32" t="n">
        <v>4754</v>
      </c>
      <c r="E8" s="10" t="n">
        <f aca="false">E5*Assumptions!E43</f>
        <v>4456.3575</v>
      </c>
      <c r="F8" s="10" t="n">
        <f aca="false">F5*Assumptions!F43</f>
        <v>4410.1805892</v>
      </c>
      <c r="G8" s="10" t="n">
        <f aca="false">G5*Assumptions!G43</f>
        <v>4468.884402708</v>
      </c>
      <c r="H8" s="10" t="n">
        <f aca="false">H5*Assumptions!H43</f>
        <v>4578.09348883476</v>
      </c>
      <c r="I8" s="10" t="n">
        <f aca="false">I5*Assumptions!I43</f>
        <v>4716.47757150127</v>
      </c>
    </row>
    <row r="9" customFormat="false" ht="15" hidden="false" customHeight="false" outlineLevel="0" collapsed="false">
      <c r="A9" s="4" t="s">
        <v>105</v>
      </c>
      <c r="B9" s="32" t="n">
        <v>12291</v>
      </c>
      <c r="C9" s="32" t="n">
        <v>11399</v>
      </c>
      <c r="D9" s="32" t="n">
        <v>11360</v>
      </c>
      <c r="E9" s="10" t="n">
        <f aca="false">E5*Assumptions!E44</f>
        <v>11586.5295</v>
      </c>
      <c r="F9" s="10" t="n">
        <f aca="false">F5*Assumptions!F44</f>
        <v>11241.636796</v>
      </c>
      <c r="G9" s="10" t="n">
        <f aca="false">G5*Assumptions!G44</f>
        <v>11285.061623</v>
      </c>
      <c r="H9" s="10" t="n">
        <f aca="false">H5*Assumptions!H44</f>
        <v>11468.8321421324</v>
      </c>
      <c r="I9" s="10" t="n">
        <f aca="false">I5*Assumptions!I44</f>
        <v>11692.9339793469</v>
      </c>
    </row>
    <row r="10" customFormat="false" ht="15" hidden="false" customHeight="false" outlineLevel="0" collapsed="false">
      <c r="A10" s="3" t="s">
        <v>44</v>
      </c>
      <c r="B10" s="35" t="n">
        <f aca="false">B7-B8-B9</f>
        <v>6311</v>
      </c>
      <c r="C10" s="35" t="n">
        <f aca="false">C7-C8-C9</f>
        <v>3702</v>
      </c>
      <c r="D10" s="35" t="n">
        <f aca="false">D7-D8-D9</f>
        <v>3797</v>
      </c>
      <c r="E10" s="36" t="n">
        <f aca="false">E7-E8-E9</f>
        <v>1994.7505</v>
      </c>
      <c r="F10" s="36" t="n">
        <f aca="false">F7-F8-F9</f>
        <v>2940.1203928</v>
      </c>
      <c r="G10" s="36" t="n">
        <f aca="false">G7-G8-G9</f>
        <v>3882.061198312</v>
      </c>
      <c r="H10" s="36" t="n">
        <f aca="false">H7-H8-H9</f>
        <v>4719.684009108</v>
      </c>
      <c r="I10" s="36" t="n">
        <f aca="false">I7-I8-I9</f>
        <v>5453.42719204834</v>
      </c>
    </row>
    <row r="11" customFormat="false" ht="15" hidden="false" customHeight="false" outlineLevel="0" collapsed="false">
      <c r="A11" s="4" t="s">
        <v>106</v>
      </c>
      <c r="B11" s="32" t="n">
        <v>-161</v>
      </c>
      <c r="C11" s="32" t="n">
        <v>-107</v>
      </c>
      <c r="D11" s="32" t="n">
        <v>-50</v>
      </c>
      <c r="E11" s="10" t="n">
        <f aca="false">Assumptions!E51*('Balance Sheet'!D19+'Balance Sheet'!D25)-Assumptions!E52*('Balance Sheet'!D6+'Balance Sheet'!D7)</f>
        <v>1.73499999999996</v>
      </c>
      <c r="F11" s="10" t="n">
        <f aca="false">Assumptions!F51*('Balance Sheet'!E19+'Balance Sheet'!E25)-Assumptions!F52*('Balance Sheet'!E6+'Balance Sheet'!E7)</f>
        <v>-30.0846258852314</v>
      </c>
      <c r="G11" s="10" t="n">
        <f aca="false">Assumptions!G51*('Balance Sheet'!F19+'Balance Sheet'!F25)-Assumptions!G52*('Balance Sheet'!F6+'Balance Sheet'!F7)</f>
        <v>-37.7597754707801</v>
      </c>
      <c r="H11" s="10" t="n">
        <f aca="false">Assumptions!H51*('Balance Sheet'!G19+'Balance Sheet'!G25)-Assumptions!H52*('Balance Sheet'!G6+'Balance Sheet'!G7)</f>
        <v>-42.5983010697049</v>
      </c>
      <c r="I11" s="10" t="n">
        <f aca="false">Assumptions!I51*('Balance Sheet'!H19+'Balance Sheet'!H25)-Assumptions!I52*('Balance Sheet'!H6+'Balance Sheet'!H7)</f>
        <v>-24.5394865938578</v>
      </c>
      <c r="J11" s="2" t="s">
        <v>107</v>
      </c>
    </row>
    <row r="12" customFormat="false" ht="15" hidden="false" customHeight="false" outlineLevel="0" collapsed="false">
      <c r="A12" s="4" t="s">
        <v>108</v>
      </c>
      <c r="B12" s="32" t="n">
        <v>-228</v>
      </c>
      <c r="C12" s="32" t="n">
        <v>-76</v>
      </c>
      <c r="D12" s="32" t="n">
        <v>-53</v>
      </c>
      <c r="E12" s="33" t="n">
        <v>0</v>
      </c>
      <c r="F12" s="33" t="n">
        <v>0</v>
      </c>
      <c r="G12" s="33" t="n">
        <v>0</v>
      </c>
      <c r="H12" s="33" t="n">
        <v>0</v>
      </c>
      <c r="I12" s="33" t="n">
        <v>0</v>
      </c>
      <c r="J12" s="2" t="s">
        <v>109</v>
      </c>
    </row>
    <row r="13" customFormat="false" ht="15" hidden="false" customHeight="false" outlineLevel="0" collapsed="false">
      <c r="A13" s="3" t="s">
        <v>110</v>
      </c>
      <c r="B13" s="35" t="n">
        <f aca="false">B10-B11-B12</f>
        <v>6700</v>
      </c>
      <c r="C13" s="35" t="n">
        <f aca="false">C10-C11-C12</f>
        <v>3885</v>
      </c>
      <c r="D13" s="35" t="n">
        <f aca="false">D10-D11-D12</f>
        <v>3900</v>
      </c>
      <c r="E13" s="36" t="n">
        <f aca="false">E10-E11-E12</f>
        <v>1993.0155</v>
      </c>
      <c r="F13" s="36" t="n">
        <f aca="false">F10-F11-F12</f>
        <v>2970.20501868523</v>
      </c>
      <c r="G13" s="36" t="n">
        <f aca="false">G10-G11-G12</f>
        <v>3919.82097378278</v>
      </c>
      <c r="H13" s="36" t="n">
        <f aca="false">H10-H11-H12</f>
        <v>4762.2823101777</v>
      </c>
      <c r="I13" s="36" t="n">
        <f aca="false">I10-I11-I12</f>
        <v>5477.9666786422</v>
      </c>
    </row>
    <row r="14" customFormat="false" ht="15" hidden="false" customHeight="false" outlineLevel="0" collapsed="false">
      <c r="A14" s="4" t="s">
        <v>111</v>
      </c>
      <c r="B14" s="32" t="n">
        <v>1000</v>
      </c>
      <c r="C14" s="32" t="n">
        <v>666</v>
      </c>
      <c r="D14" s="32" t="n">
        <v>792</v>
      </c>
      <c r="E14" s="10" t="n">
        <f aca="false">E13*Assumptions!E50</f>
        <v>378.672945</v>
      </c>
      <c r="F14" s="10" t="n">
        <f aca="false">F13*Assumptions!F50</f>
        <v>564.338953550193</v>
      </c>
      <c r="G14" s="10" t="n">
        <f aca="false">G13*Assumptions!G50</f>
        <v>744.765985018729</v>
      </c>
      <c r="H14" s="10" t="n">
        <f aca="false">H13*Assumptions!H50</f>
        <v>904.833638933763</v>
      </c>
      <c r="I14" s="10" t="n">
        <f aca="false">I13*Assumptions!I50</f>
        <v>1040.81366894202</v>
      </c>
    </row>
    <row r="15" customFormat="false" ht="15" hidden="false" customHeight="false" outlineLevel="0" collapsed="false">
      <c r="A15" s="3" t="s">
        <v>46</v>
      </c>
      <c r="B15" s="39" t="n">
        <f aca="false">B13-B14</f>
        <v>5700</v>
      </c>
      <c r="C15" s="39" t="n">
        <f aca="false">C13-C14</f>
        <v>3219</v>
      </c>
      <c r="D15" s="39" t="n">
        <f aca="false">D13-D14</f>
        <v>3108</v>
      </c>
      <c r="E15" s="40" t="n">
        <f aca="false">E13-E14</f>
        <v>1614.342555</v>
      </c>
      <c r="F15" s="40" t="n">
        <f aca="false">F13-F14</f>
        <v>2405.86606513503</v>
      </c>
      <c r="G15" s="40" t="n">
        <f aca="false">G13-G14</f>
        <v>3175.05498876406</v>
      </c>
      <c r="H15" s="40" t="n">
        <f aca="false">H13-H14</f>
        <v>3857.44867124394</v>
      </c>
      <c r="I15" s="40" t="n">
        <f aca="false">I13-I14</f>
        <v>4437.15300970018</v>
      </c>
    </row>
    <row r="17" customFormat="false" ht="15" hidden="false" customHeight="false" outlineLevel="0" collapsed="false">
      <c r="A17" s="4" t="s">
        <v>112</v>
      </c>
      <c r="B17" s="41" t="n">
        <v>1529.7</v>
      </c>
      <c r="C17" s="41" t="n">
        <v>1487.6</v>
      </c>
      <c r="D17" s="41" t="n">
        <v>1481</v>
      </c>
      <c r="E17" s="42" t="n">
        <f aca="false">D17-Assumptions!E64/Assumptions!E65+Assumptions!E66</f>
        <v>1482.75</v>
      </c>
      <c r="F17" s="42" t="n">
        <f aca="false">E17-Assumptions!F64/Assumptions!F65+Assumptions!F66</f>
        <v>1474.08333333333</v>
      </c>
      <c r="G17" s="42" t="n">
        <f aca="false">F17-Assumptions!G64/Assumptions!G65+Assumptions!G66</f>
        <v>1452.08333333333</v>
      </c>
      <c r="H17" s="42" t="n">
        <f aca="false">G17-Assumptions!H64/Assumptions!H65+Assumptions!H66</f>
        <v>1414.62878787879</v>
      </c>
      <c r="I17" s="42" t="n">
        <f aca="false">H17-Assumptions!I64/Assumptions!I65+Assumptions!I66</f>
        <v>1372.62878787879</v>
      </c>
    </row>
    <row r="18" customFormat="false" ht="15" hidden="false" customHeight="false" outlineLevel="0" collapsed="false">
      <c r="A18" s="3" t="s">
        <v>47</v>
      </c>
      <c r="B18" s="43" t="n">
        <f aca="false">B15/B17</f>
        <v>3.72622082761326</v>
      </c>
      <c r="C18" s="43" t="n">
        <f aca="false">C15/C17</f>
        <v>2.16388814197365</v>
      </c>
      <c r="D18" s="43" t="n">
        <f aca="false">D15/D17</f>
        <v>2.09858203916273</v>
      </c>
      <c r="E18" s="44" t="n">
        <f aca="false">E15/E17</f>
        <v>1.08874898330804</v>
      </c>
      <c r="F18" s="44" t="n">
        <f aca="false">F15/F17</f>
        <v>1.63210994299397</v>
      </c>
      <c r="G18" s="44" t="n">
        <f aca="false">G15/G17</f>
        <v>2.18655149871843</v>
      </c>
      <c r="H18" s="44" t="n">
        <f aca="false">H15/H17</f>
        <v>2.72682749304722</v>
      </c>
      <c r="I18" s="44" t="n">
        <f aca="false">I15/I17</f>
        <v>3.23259503871925</v>
      </c>
    </row>
    <row r="19" customFormat="false" ht="15" hidden="false" customHeight="false" outlineLevel="0" collapsed="false">
      <c r="A19" s="4" t="s">
        <v>113</v>
      </c>
      <c r="B19" s="45" t="n">
        <f aca="false">-'Cash Flow'!B24/B17</f>
        <v>1.41792508334968</v>
      </c>
      <c r="C19" s="45" t="n">
        <f aca="false">-'Cash Flow'!C24/C17</f>
        <v>1.54611454692122</v>
      </c>
      <c r="D19" s="45" t="n">
        <f aca="false">-'Cash Flow'!D24/D17</f>
        <v>1.62525320729237</v>
      </c>
      <c r="E19" s="14" t="n">
        <f aca="false">D19*(1+Assumptions!E63)</f>
        <v>1.62525320729237</v>
      </c>
      <c r="F19" s="14" t="n">
        <f aca="false">E19*(1+Assumptions!F63)</f>
        <v>1.62525320729237</v>
      </c>
      <c r="G19" s="14" t="n">
        <f aca="false">F19*(1+Assumptions!G63)</f>
        <v>1.67401080351114</v>
      </c>
      <c r="H19" s="14" t="n">
        <f aca="false">G19*(1+Assumptions!H63)</f>
        <v>1.7577113436867</v>
      </c>
      <c r="I19" s="14" t="n">
        <f aca="false">H19*(1+Assumptions!I63)</f>
        <v>1.84559691087103</v>
      </c>
    </row>
    <row r="21" customFormat="false" ht="15" hidden="false" customHeight="false" outlineLevel="0" collapsed="false">
      <c r="A21" s="17" t="s">
        <v>114</v>
      </c>
      <c r="B21" s="18"/>
      <c r="C21" s="18"/>
      <c r="D21" s="18"/>
      <c r="E21" s="18"/>
      <c r="F21" s="18"/>
      <c r="G21" s="18"/>
      <c r="H21" s="18"/>
      <c r="I21" s="18"/>
    </row>
    <row r="22" customFormat="false" ht="15" hidden="false" customHeight="false" outlineLevel="0" collapsed="false">
      <c r="A22" s="4" t="s">
        <v>43</v>
      </c>
      <c r="B22" s="46" t="n">
        <f aca="false">B7/B5</f>
        <v>0.445601806783225</v>
      </c>
      <c r="C22" s="46" t="n">
        <f aca="false">C7/C5</f>
        <v>0.427346736055626</v>
      </c>
      <c r="D22" s="46" t="n">
        <f aca="false">D7/D5</f>
        <v>0.429134876503298</v>
      </c>
      <c r="E22" s="37" t="n">
        <f aca="false">E7/E5</f>
        <v>0.425</v>
      </c>
      <c r="F22" s="37" t="n">
        <f aca="false">F7/F5</f>
        <v>0.43</v>
      </c>
      <c r="G22" s="37" t="n">
        <f aca="false">G7/G5</f>
        <v>0.435</v>
      </c>
      <c r="H22" s="37" t="n">
        <f aca="false">H7/H5</f>
        <v>0.44</v>
      </c>
      <c r="I22" s="37" t="n">
        <f aca="false">I7/I5</f>
        <v>0.445</v>
      </c>
    </row>
    <row r="23" customFormat="false" ht="15" hidden="false" customHeight="false" outlineLevel="0" collapsed="false">
      <c r="A23" s="4" t="s">
        <v>115</v>
      </c>
      <c r="B23" s="46" t="n">
        <f aca="false">B8/B5</f>
        <v>0.0834274366262996</v>
      </c>
      <c r="C23" s="46" t="n">
        <f aca="false">C8/C5</f>
        <v>0.101254615733443</v>
      </c>
      <c r="D23" s="46" t="n">
        <f aca="false">D8/D5</f>
        <v>0.102461312987629</v>
      </c>
      <c r="E23" s="37" t="n">
        <f aca="false">E8/E5</f>
        <v>0.105</v>
      </c>
      <c r="F23" s="37" t="n">
        <f aca="false">F8/F5</f>
        <v>0.102</v>
      </c>
      <c r="G23" s="37" t="n">
        <f aca="false">G8/G5</f>
        <v>0.099</v>
      </c>
      <c r="H23" s="37" t="n">
        <f aca="false">H8/H5</f>
        <v>0.097</v>
      </c>
      <c r="I23" s="37" t="n">
        <f aca="false">I8/I5</f>
        <v>0.096</v>
      </c>
    </row>
    <row r="24" customFormat="false" ht="15" hidden="false" customHeight="false" outlineLevel="0" collapsed="false">
      <c r="A24" s="4" t="s">
        <v>116</v>
      </c>
      <c r="B24" s="46" t="n">
        <f aca="false">B9/B5</f>
        <v>0.239301429072077</v>
      </c>
      <c r="C24" s="46" t="n">
        <f aca="false">C9/C5</f>
        <v>0.246150856205057</v>
      </c>
      <c r="D24" s="46" t="n">
        <f aca="false">D9/D5</f>
        <v>0.244838139574982</v>
      </c>
      <c r="E24" s="37" t="n">
        <f aca="false">E9/E5</f>
        <v>0.273</v>
      </c>
      <c r="F24" s="37" t="n">
        <f aca="false">F9/F5</f>
        <v>0.26</v>
      </c>
      <c r="G24" s="37" t="n">
        <f aca="false">G9/G5</f>
        <v>0.25</v>
      </c>
      <c r="H24" s="37" t="n">
        <f aca="false">H9/H5</f>
        <v>0.243</v>
      </c>
      <c r="I24" s="37" t="n">
        <f aca="false">I9/I5</f>
        <v>0.238</v>
      </c>
    </row>
    <row r="25" customFormat="false" ht="15" hidden="false" customHeight="false" outlineLevel="0" collapsed="false">
      <c r="A25" s="4" t="s">
        <v>45</v>
      </c>
      <c r="B25" s="46" t="n">
        <f aca="false">B10/B5</f>
        <v>0.122872941084849</v>
      </c>
      <c r="C25" s="46" t="n">
        <f aca="false">C10/C5</f>
        <v>0.0799412641171263</v>
      </c>
      <c r="D25" s="46" t="n">
        <f aca="false">D10/D5</f>
        <v>0.0818354239406871</v>
      </c>
      <c r="E25" s="37" t="n">
        <f aca="false">E10/E5</f>
        <v>0.047</v>
      </c>
      <c r="F25" s="37" t="n">
        <f aca="false">F10/F5</f>
        <v>0.0679999999999999</v>
      </c>
      <c r="G25" s="37" t="n">
        <f aca="false">G10/G5</f>
        <v>0.0860000000000001</v>
      </c>
      <c r="H25" s="37" t="n">
        <f aca="false">H10/H5</f>
        <v>0.0999999999999999</v>
      </c>
      <c r="I25" s="37" t="n">
        <f aca="false">I10/I5</f>
        <v>0.111</v>
      </c>
    </row>
    <row r="26" customFormat="false" ht="15" hidden="false" customHeight="false" outlineLevel="0" collapsed="false">
      <c r="A26" s="4" t="s">
        <v>117</v>
      </c>
      <c r="B26" s="46" t="n">
        <f aca="false">B15/B5</f>
        <v>0.110976986877458</v>
      </c>
      <c r="C26" s="46" t="n">
        <f aca="false">C15/C5</f>
        <v>0.0695113260921203</v>
      </c>
      <c r="D26" s="46" t="n">
        <f aca="false">D15/D5</f>
        <v>0.0669856459330144</v>
      </c>
      <c r="E26" s="37" t="n">
        <f aca="false">E15/E5</f>
        <v>0.038036887362605</v>
      </c>
      <c r="F26" s="37" t="n">
        <f aca="false">F15/F5</f>
        <v>0.0556436031768686</v>
      </c>
      <c r="G26" s="37" t="n">
        <f aca="false">G15/G5</f>
        <v>0.0703375642693213</v>
      </c>
      <c r="H26" s="37" t="n">
        <f aca="false">H15/H5</f>
        <v>0.0817310791103784</v>
      </c>
      <c r="I26" s="37" t="n">
        <f aca="false">I15/I5</f>
        <v>0.0903145795720663</v>
      </c>
    </row>
    <row r="27" customFormat="false" ht="15" hidden="false" customHeight="false" outlineLevel="0" collapsed="false">
      <c r="A27" s="4" t="s">
        <v>76</v>
      </c>
      <c r="B27" s="46" t="n">
        <f aca="false">B14/B13</f>
        <v>0.149253731343284</v>
      </c>
      <c r="C27" s="46" t="n">
        <f aca="false">C14/C13</f>
        <v>0.171428571428571</v>
      </c>
      <c r="D27" s="46" t="n">
        <f aca="false">D14/D13</f>
        <v>0.203076923076923</v>
      </c>
      <c r="E27" s="37" t="n">
        <f aca="false">E14/E13</f>
        <v>0.19</v>
      </c>
      <c r="F27" s="37" t="n">
        <f aca="false">F14/F13</f>
        <v>0.19</v>
      </c>
      <c r="G27" s="37" t="n">
        <f aca="false">G14/G13</f>
        <v>0.19</v>
      </c>
      <c r="H27" s="37" t="n">
        <f aca="false">H14/H13</f>
        <v>0.19</v>
      </c>
      <c r="I27" s="37" t="n">
        <f aca="false">I14/I13</f>
        <v>0.19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1"/>
  </cols>
  <sheetData>
    <row r="1" customFormat="false" ht="17.35" hidden="false" customHeight="false" outlineLevel="0" collapsed="false">
      <c r="A1" s="6" t="s">
        <v>118</v>
      </c>
    </row>
    <row r="2" customFormat="false" ht="15" hidden="false" customHeight="false" outlineLevel="0" collapsed="false">
      <c r="A2" s="2" t="s">
        <v>119</v>
      </c>
    </row>
    <row r="4" customFormat="false" ht="15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</row>
    <row r="5" customFormat="false" ht="15" hidden="false" customHeight="false" outlineLevel="0" collapsed="false">
      <c r="A5" s="17" t="s">
        <v>120</v>
      </c>
      <c r="B5" s="18"/>
      <c r="C5" s="18"/>
      <c r="D5" s="18"/>
      <c r="E5" s="18"/>
      <c r="F5" s="18"/>
      <c r="G5" s="18"/>
      <c r="H5" s="18"/>
      <c r="I5" s="18"/>
    </row>
    <row r="6" customFormat="false" ht="15" hidden="false" customHeight="false" outlineLevel="0" collapsed="false">
      <c r="A6" s="4" t="s">
        <v>121</v>
      </c>
      <c r="B6" s="32" t="n">
        <v>9860</v>
      </c>
      <c r="C6" s="32" t="n">
        <v>7464</v>
      </c>
      <c r="D6" s="32" t="n">
        <v>7563</v>
      </c>
      <c r="E6" s="10" t="n">
        <f aca="false">'Cash Flow'!E32</f>
        <v>6186.41788243518</v>
      </c>
      <c r="F6" s="10" t="n">
        <f aca="false">'Cash Flow'!F32</f>
        <v>6405.70787059372</v>
      </c>
      <c r="G6" s="10" t="n">
        <f aca="false">'Cash Flow'!G32</f>
        <v>6543.95145913443</v>
      </c>
      <c r="H6" s="10" t="n">
        <f aca="false">'Cash Flow'!H32</f>
        <v>6027.98533125308</v>
      </c>
      <c r="I6" s="10" t="n">
        <f aca="false">'Cash Flow'!I32</f>
        <v>5518.05445312302</v>
      </c>
    </row>
    <row r="7" customFormat="false" ht="15" hidden="false" customHeight="false" outlineLevel="0" collapsed="false">
      <c r="A7" s="4" t="s">
        <v>122</v>
      </c>
      <c r="B7" s="32" t="n">
        <v>1722</v>
      </c>
      <c r="C7" s="32" t="n">
        <v>1687</v>
      </c>
      <c r="D7" s="32" t="n">
        <v>1464</v>
      </c>
      <c r="E7" s="33" t="n">
        <f aca="false">D7</f>
        <v>1464</v>
      </c>
      <c r="F7" s="33" t="n">
        <f aca="false">E7</f>
        <v>1464</v>
      </c>
      <c r="G7" s="33" t="n">
        <f aca="false">F7</f>
        <v>1464</v>
      </c>
      <c r="H7" s="33" t="n">
        <f aca="false">G7</f>
        <v>1464</v>
      </c>
      <c r="I7" s="33" t="n">
        <f aca="false">H7</f>
        <v>1464</v>
      </c>
    </row>
    <row r="8" customFormat="false" ht="15" hidden="false" customHeight="false" outlineLevel="0" collapsed="false">
      <c r="A8" s="4" t="s">
        <v>123</v>
      </c>
      <c r="B8" s="32" t="n">
        <v>4427</v>
      </c>
      <c r="C8" s="32" t="n">
        <v>4717</v>
      </c>
      <c r="D8" s="32" t="n">
        <v>5931</v>
      </c>
      <c r="E8" s="10" t="n">
        <f aca="false">'Income Statement'!E5*Assumptions!E55/365</f>
        <v>5116.23561643836</v>
      </c>
      <c r="F8" s="10" t="n">
        <f aca="false">'Income Statement'!F5*Assumptions!F55/365</f>
        <v>4975.22387178082</v>
      </c>
      <c r="G8" s="10" t="n">
        <f aca="false">'Income Statement'!G5*Assumptions!G55/365</f>
        <v>4946.87632789041</v>
      </c>
      <c r="H8" s="10" t="n">
        <f aca="false">'Income Statement'!H5*Assumptions!H55/365</f>
        <v>5172.25644833753</v>
      </c>
      <c r="I8" s="10" t="n">
        <f aca="false">'Income Statement'!I5*Assumptions!I55/365</f>
        <v>5384.10681678227</v>
      </c>
    </row>
    <row r="9" customFormat="false" ht="15" hidden="false" customHeight="false" outlineLevel="0" collapsed="false">
      <c r="A9" s="4" t="s">
        <v>124</v>
      </c>
      <c r="B9" s="32" t="n">
        <v>7519</v>
      </c>
      <c r="C9" s="32" t="n">
        <v>7489</v>
      </c>
      <c r="D9" s="32" t="n">
        <v>7501</v>
      </c>
      <c r="E9" s="10" t="n">
        <f aca="false">'Income Statement'!E6*Assumptions!E56/365</f>
        <v>6685.9897260274</v>
      </c>
      <c r="F9" s="10" t="n">
        <f aca="false">'Income Statement'!F6*Assumptions!F56/365</f>
        <v>6617.04774946849</v>
      </c>
      <c r="G9" s="10" t="n">
        <f aca="false">'Income Statement'!G6*Assumptions!G56/365</f>
        <v>6707.9643006194</v>
      </c>
      <c r="H9" s="10" t="n">
        <f aca="false">'Income Statement'!H6*Assumptions!H56/365</f>
        <v>6879.10107628892</v>
      </c>
      <c r="I9" s="10" t="n">
        <f aca="false">'Income Statement'!I6*Assumptions!I56/365</f>
        <v>7096.92579787113</v>
      </c>
    </row>
    <row r="10" customFormat="false" ht="15" hidden="false" customHeight="false" outlineLevel="0" collapsed="false">
      <c r="A10" s="4" t="s">
        <v>125</v>
      </c>
      <c r="B10" s="32" t="n">
        <v>1854</v>
      </c>
      <c r="C10" s="32" t="n">
        <v>2005</v>
      </c>
      <c r="D10" s="32" t="n">
        <v>2144</v>
      </c>
      <c r="E10" s="10" t="n">
        <f aca="false">'Income Statement'!E5*Assumptions!E58</f>
        <v>1952.309</v>
      </c>
      <c r="F10" s="10" t="n">
        <f aca="false">'Income Statement'!F5*Assumptions!F58</f>
        <v>1988.9049716</v>
      </c>
      <c r="G10" s="10" t="n">
        <f aca="false">'Income Statement'!G5*Assumptions!G58</f>
        <v>2076.451338632</v>
      </c>
      <c r="H10" s="10" t="n">
        <f aca="false">'Income Statement'!H5*Assumptions!H58</f>
        <v>2171.05464418968</v>
      </c>
      <c r="I10" s="10" t="n">
        <f aca="false">'Income Statement'!I5*Assumptions!I58</f>
        <v>2259.97883634436</v>
      </c>
    </row>
    <row r="11" customFormat="false" ht="15" hidden="false" customHeight="false" outlineLevel="0" collapsed="false">
      <c r="A11" s="3" t="s">
        <v>126</v>
      </c>
      <c r="B11" s="35" t="n">
        <f aca="false">SUM(B6:B10)</f>
        <v>25382</v>
      </c>
      <c r="C11" s="35" t="n">
        <f aca="false">SUM(C6:C10)</f>
        <v>23362</v>
      </c>
      <c r="D11" s="35" t="n">
        <f aca="false">SUM(D6:D10)</f>
        <v>24603</v>
      </c>
      <c r="E11" s="36" t="n">
        <f aca="false">SUM(E6:E10)</f>
        <v>21404.9522249009</v>
      </c>
      <c r="F11" s="36" t="n">
        <f aca="false">SUM(F6:F10)</f>
        <v>21450.884463443</v>
      </c>
      <c r="G11" s="36" t="n">
        <f aca="false">SUM(G6:G10)</f>
        <v>21739.2434262762</v>
      </c>
      <c r="H11" s="36" t="n">
        <f aca="false">SUM(H6:H10)</f>
        <v>21714.3975000692</v>
      </c>
      <c r="I11" s="36" t="n">
        <f aca="false">SUM(I6:I10)</f>
        <v>21723.0659041208</v>
      </c>
    </row>
    <row r="12" customFormat="false" ht="15" hidden="false" customHeight="false" outlineLevel="0" collapsed="false">
      <c r="A12" s="4" t="s">
        <v>127</v>
      </c>
      <c r="B12" s="32" t="n">
        <v>5000</v>
      </c>
      <c r="C12" s="32" t="n">
        <v>4828</v>
      </c>
      <c r="D12" s="32" t="n">
        <v>4796</v>
      </c>
      <c r="E12" s="10" t="n">
        <f aca="false">D12-'Cash Flow'!E18-'Cash Flow'!E7</f>
        <v>4796</v>
      </c>
      <c r="F12" s="10" t="n">
        <f aca="false">E12-'Cash Flow'!F18-'Cash Flow'!F7</f>
        <v>4796</v>
      </c>
      <c r="G12" s="10" t="n">
        <f aca="false">F12-'Cash Flow'!G18-'Cash Flow'!G7</f>
        <v>4796</v>
      </c>
      <c r="H12" s="10" t="n">
        <f aca="false">G12-'Cash Flow'!H18-'Cash Flow'!H7</f>
        <v>4796</v>
      </c>
      <c r="I12" s="10" t="n">
        <f aca="false">H12-'Cash Flow'!I18-'Cash Flow'!I7</f>
        <v>4796</v>
      </c>
    </row>
    <row r="13" customFormat="false" ht="15" hidden="false" customHeight="false" outlineLevel="0" collapsed="false">
      <c r="A13" s="4" t="s">
        <v>128</v>
      </c>
      <c r="B13" s="32" t="n">
        <v>2718</v>
      </c>
      <c r="C13" s="32" t="n">
        <v>2712</v>
      </c>
      <c r="D13" s="32" t="n">
        <v>2838</v>
      </c>
      <c r="E13" s="33" t="n">
        <f aca="false">D13</f>
        <v>2838</v>
      </c>
      <c r="F13" s="33" t="n">
        <f aca="false">E13</f>
        <v>2838</v>
      </c>
      <c r="G13" s="33" t="n">
        <f aca="false">F13</f>
        <v>2838</v>
      </c>
      <c r="H13" s="33" t="n">
        <f aca="false">G13</f>
        <v>2838</v>
      </c>
      <c r="I13" s="33" t="n">
        <f aca="false">H13</f>
        <v>2838</v>
      </c>
    </row>
    <row r="14" customFormat="false" ht="15" hidden="false" customHeight="false" outlineLevel="0" collapsed="false">
      <c r="A14" s="4" t="s">
        <v>129</v>
      </c>
      <c r="B14" s="32" t="n">
        <v>499</v>
      </c>
      <c r="C14" s="32" t="n">
        <v>499</v>
      </c>
      <c r="D14" s="32" t="n">
        <v>499</v>
      </c>
      <c r="E14" s="33" t="n">
        <f aca="false">D14</f>
        <v>499</v>
      </c>
      <c r="F14" s="33" t="n">
        <f aca="false">E14</f>
        <v>499</v>
      </c>
      <c r="G14" s="33" t="n">
        <f aca="false">F14</f>
        <v>499</v>
      </c>
      <c r="H14" s="33" t="n">
        <f aca="false">G14</f>
        <v>499</v>
      </c>
      <c r="I14" s="33" t="n">
        <f aca="false">H14</f>
        <v>499</v>
      </c>
    </row>
    <row r="15" customFormat="false" ht="15" hidden="false" customHeight="false" outlineLevel="0" collapsed="false">
      <c r="A15" s="4" t="s">
        <v>130</v>
      </c>
      <c r="B15" s="32" t="n">
        <v>4511</v>
      </c>
      <c r="C15" s="32" t="n">
        <v>5178</v>
      </c>
      <c r="D15" s="32" t="n">
        <v>5674</v>
      </c>
      <c r="E15" s="33" t="n">
        <f aca="false">D15</f>
        <v>5674</v>
      </c>
      <c r="F15" s="33" t="n">
        <f aca="false">E15</f>
        <v>5674</v>
      </c>
      <c r="G15" s="33" t="n">
        <f aca="false">F15</f>
        <v>5674</v>
      </c>
      <c r="H15" s="33" t="n">
        <f aca="false">G15</f>
        <v>5674</v>
      </c>
      <c r="I15" s="33" t="n">
        <f aca="false">H15</f>
        <v>5674</v>
      </c>
    </row>
    <row r="16" customFormat="false" ht="15" hidden="false" customHeight="false" outlineLevel="0" collapsed="false">
      <c r="A16" s="3" t="s">
        <v>131</v>
      </c>
      <c r="B16" s="39" t="n">
        <f aca="false">B11+SUM(B12:B15)</f>
        <v>38110</v>
      </c>
      <c r="C16" s="39" t="n">
        <f aca="false">C11+SUM(C12:C15)</f>
        <v>36579</v>
      </c>
      <c r="D16" s="39" t="n">
        <f aca="false">D11+SUM(D12:D15)</f>
        <v>38410</v>
      </c>
      <c r="E16" s="40" t="n">
        <f aca="false">E11+SUM(E12:E15)</f>
        <v>35211.9522249009</v>
      </c>
      <c r="F16" s="40" t="n">
        <f aca="false">F11+SUM(F12:F15)</f>
        <v>35257.884463443</v>
      </c>
      <c r="G16" s="40" t="n">
        <f aca="false">G11+SUM(G12:G15)</f>
        <v>35546.2434262762</v>
      </c>
      <c r="H16" s="40" t="n">
        <f aca="false">H11+SUM(H12:H15)</f>
        <v>35521.3975000692</v>
      </c>
      <c r="I16" s="40" t="n">
        <f aca="false">I11+SUM(I12:I15)</f>
        <v>35530.0659041208</v>
      </c>
    </row>
    <row r="18" customFormat="false" ht="15" hidden="false" customHeight="false" outlineLevel="0" collapsed="false">
      <c r="A18" s="17" t="s">
        <v>132</v>
      </c>
      <c r="B18" s="18"/>
      <c r="C18" s="18"/>
      <c r="D18" s="18"/>
      <c r="E18" s="18"/>
      <c r="F18" s="18"/>
      <c r="G18" s="18"/>
      <c r="H18" s="18"/>
      <c r="I18" s="18"/>
    </row>
    <row r="19" customFormat="false" ht="15" hidden="false" customHeight="false" outlineLevel="0" collapsed="false">
      <c r="A19" s="4" t="s">
        <v>133</v>
      </c>
      <c r="B19" s="32" t="n">
        <v>1006</v>
      </c>
      <c r="C19" s="32" t="n">
        <v>5</v>
      </c>
      <c r="D19" s="32" t="n">
        <v>2000</v>
      </c>
      <c r="E19" s="10" t="n">
        <f aca="false">MAX(D19-Assumptions!E62,0)</f>
        <v>0</v>
      </c>
      <c r="F19" s="10" t="n">
        <f aca="false">MAX(E19-Assumptions!F62,0)</f>
        <v>0</v>
      </c>
      <c r="G19" s="10" t="n">
        <f aca="false">MAX(F19-Assumptions!G62,0)</f>
        <v>0</v>
      </c>
      <c r="H19" s="10" t="n">
        <f aca="false">MAX(G19-Assumptions!H62,0)</f>
        <v>0</v>
      </c>
      <c r="I19" s="10" t="n">
        <f aca="false">MAX(H19-Assumptions!I62,0)</f>
        <v>0</v>
      </c>
    </row>
    <row r="20" customFormat="false" ht="15" hidden="false" customHeight="false" outlineLevel="0" collapsed="false">
      <c r="A20" s="4" t="s">
        <v>134</v>
      </c>
      <c r="B20" s="32" t="n">
        <v>2851</v>
      </c>
      <c r="C20" s="32" t="n">
        <v>3479</v>
      </c>
      <c r="D20" s="32" t="n">
        <v>3600</v>
      </c>
      <c r="E20" s="10" t="n">
        <f aca="false">'Income Statement'!E6*Assumptions!E57/365</f>
        <v>3342.9948630137</v>
      </c>
      <c r="F20" s="10" t="n">
        <f aca="false">'Income Statement'!F6*Assumptions!F57/365</f>
        <v>3376.04477013699</v>
      </c>
      <c r="G20" s="10" t="n">
        <f aca="false">'Income Statement'!G6*Assumptions!G57/365</f>
        <v>3493.7314065726</v>
      </c>
      <c r="H20" s="10" t="n">
        <f aca="false">'Income Statement'!H6*Assumptions!H57/365</f>
        <v>3620.57951383627</v>
      </c>
      <c r="I20" s="10" t="n">
        <f aca="false">'Income Statement'!I6*Assumptions!I57/365</f>
        <v>3735.2241041427</v>
      </c>
    </row>
    <row r="21" customFormat="false" ht="15" hidden="false" customHeight="false" outlineLevel="0" collapsed="false">
      <c r="A21" s="4" t="s">
        <v>135</v>
      </c>
      <c r="B21" s="32" t="n">
        <v>5725</v>
      </c>
      <c r="C21" s="32" t="n">
        <v>5911</v>
      </c>
      <c r="D21" s="32" t="n">
        <v>6092</v>
      </c>
      <c r="E21" s="10" t="n">
        <f aca="false">'Income Statement'!E5*Assumptions!E59</f>
        <v>5559.8365</v>
      </c>
      <c r="F21" s="10" t="n">
        <f aca="false">'Income Statement'!F5*Assumptions!F59</f>
        <v>5664.0554626</v>
      </c>
      <c r="G21" s="10" t="n">
        <f aca="false">'Income Statement'!G5*Assumptions!G59</f>
        <v>5913.372290452</v>
      </c>
      <c r="H21" s="10" t="n">
        <f aca="false">'Income Statement'!H5*Assumptions!H59</f>
        <v>6182.78605193148</v>
      </c>
      <c r="I21" s="10" t="n">
        <f aca="false">'Income Statement'!I5*Assumptions!I59</f>
        <v>6436.02668611111</v>
      </c>
    </row>
    <row r="22" customFormat="false" ht="15" hidden="false" customHeight="false" outlineLevel="0" collapsed="false">
      <c r="A22" s="4" t="s">
        <v>136</v>
      </c>
      <c r="B22" s="32" t="n">
        <v>534</v>
      </c>
      <c r="C22" s="32" t="n">
        <v>669</v>
      </c>
      <c r="D22" s="32" t="n">
        <v>377</v>
      </c>
      <c r="E22" s="33" t="n">
        <f aca="false">D22</f>
        <v>377</v>
      </c>
      <c r="F22" s="33" t="n">
        <f aca="false">E22</f>
        <v>377</v>
      </c>
      <c r="G22" s="33" t="n">
        <f aca="false">F22</f>
        <v>377</v>
      </c>
      <c r="H22" s="33" t="n">
        <f aca="false">G22</f>
        <v>377</v>
      </c>
      <c r="I22" s="33" t="n">
        <f aca="false">H22</f>
        <v>377</v>
      </c>
    </row>
    <row r="23" customFormat="false" ht="15" hidden="false" customHeight="false" outlineLevel="0" collapsed="false">
      <c r="A23" s="4" t="s">
        <v>137</v>
      </c>
      <c r="B23" s="32" t="n">
        <v>477</v>
      </c>
      <c r="C23" s="32" t="n">
        <v>502</v>
      </c>
      <c r="D23" s="32" t="n">
        <v>478</v>
      </c>
      <c r="E23" s="33" t="n">
        <f aca="false">D23</f>
        <v>478</v>
      </c>
      <c r="F23" s="33" t="n">
        <f aca="false">E23</f>
        <v>478</v>
      </c>
      <c r="G23" s="33" t="n">
        <f aca="false">F23</f>
        <v>478</v>
      </c>
      <c r="H23" s="33" t="n">
        <f aca="false">G23</f>
        <v>478</v>
      </c>
      <c r="I23" s="33" t="n">
        <f aca="false">H23</f>
        <v>478</v>
      </c>
    </row>
    <row r="24" customFormat="false" ht="15" hidden="false" customHeight="false" outlineLevel="0" collapsed="false">
      <c r="A24" s="3" t="s">
        <v>138</v>
      </c>
      <c r="B24" s="35" t="n">
        <f aca="false">SUM(B19:B23)</f>
        <v>10593</v>
      </c>
      <c r="C24" s="35" t="n">
        <f aca="false">SUM(C19:C23)</f>
        <v>10566</v>
      </c>
      <c r="D24" s="35" t="n">
        <f aca="false">SUM(D19:D23)</f>
        <v>12547</v>
      </c>
      <c r="E24" s="36" t="n">
        <f aca="false">SUM(E19:E23)</f>
        <v>9757.8313630137</v>
      </c>
      <c r="F24" s="36" t="n">
        <f aca="false">SUM(F19:F23)</f>
        <v>9895.10023273699</v>
      </c>
      <c r="G24" s="36" t="n">
        <f aca="false">SUM(G19:G23)</f>
        <v>10262.1036970246</v>
      </c>
      <c r="H24" s="36" t="n">
        <f aca="false">SUM(H19:H23)</f>
        <v>10658.3655657678</v>
      </c>
      <c r="I24" s="36" t="n">
        <f aca="false">SUM(I19:I23)</f>
        <v>11026.2507902538</v>
      </c>
    </row>
    <row r="25" customFormat="false" ht="15" hidden="false" customHeight="false" outlineLevel="0" collapsed="false">
      <c r="A25" s="4" t="s">
        <v>139</v>
      </c>
      <c r="B25" s="32" t="n">
        <v>7903</v>
      </c>
      <c r="C25" s="32" t="n">
        <v>7961</v>
      </c>
      <c r="D25" s="32" t="n">
        <v>5942</v>
      </c>
      <c r="E25" s="10" t="n">
        <f aca="false">D25-MAX(Assumptions!E62-D19,0)</f>
        <v>5942</v>
      </c>
      <c r="F25" s="10" t="n">
        <f aca="false">E25-MAX(Assumptions!F62-E19,0)</f>
        <v>5942</v>
      </c>
      <c r="G25" s="10" t="n">
        <f aca="false">F25-MAX(Assumptions!G62-F19,0)</f>
        <v>5942</v>
      </c>
      <c r="H25" s="10" t="n">
        <f aca="false">G25-MAX(Assumptions!H62-G19,0)</f>
        <v>5942</v>
      </c>
      <c r="I25" s="10" t="n">
        <f aca="false">H25-MAX(Assumptions!I62-H19,0)</f>
        <v>5942</v>
      </c>
    </row>
    <row r="26" customFormat="false" ht="15" hidden="false" customHeight="false" outlineLevel="0" collapsed="false">
      <c r="A26" s="4" t="s">
        <v>140</v>
      </c>
      <c r="B26" s="32" t="n">
        <v>2566</v>
      </c>
      <c r="C26" s="32" t="n">
        <v>2550</v>
      </c>
      <c r="D26" s="32" t="n">
        <v>2613</v>
      </c>
      <c r="E26" s="33" t="n">
        <f aca="false">D26</f>
        <v>2613</v>
      </c>
      <c r="F26" s="33" t="n">
        <f aca="false">E26</f>
        <v>2613</v>
      </c>
      <c r="G26" s="33" t="n">
        <f aca="false">F26</f>
        <v>2613</v>
      </c>
      <c r="H26" s="33" t="n">
        <f aca="false">G26</f>
        <v>2613</v>
      </c>
      <c r="I26" s="33" t="n">
        <f aca="false">H26</f>
        <v>2613</v>
      </c>
    </row>
    <row r="27" customFormat="false" ht="15" hidden="false" customHeight="false" outlineLevel="0" collapsed="false">
      <c r="A27" s="4" t="s">
        <v>141</v>
      </c>
      <c r="B27" s="32" t="n">
        <v>2618</v>
      </c>
      <c r="C27" s="32" t="n">
        <v>2289</v>
      </c>
      <c r="D27" s="32" t="n">
        <v>2443</v>
      </c>
      <c r="E27" s="33" t="n">
        <f aca="false">D27</f>
        <v>2443</v>
      </c>
      <c r="F27" s="33" t="n">
        <f aca="false">E27</f>
        <v>2443</v>
      </c>
      <c r="G27" s="33" t="n">
        <f aca="false">F27</f>
        <v>2443</v>
      </c>
      <c r="H27" s="33" t="n">
        <f aca="false">G27</f>
        <v>2443</v>
      </c>
      <c r="I27" s="33" t="n">
        <f aca="false">H27</f>
        <v>2443</v>
      </c>
    </row>
    <row r="28" customFormat="false" ht="15" hidden="false" customHeight="false" outlineLevel="0" collapsed="false">
      <c r="A28" s="3" t="s">
        <v>142</v>
      </c>
      <c r="B28" s="35" t="n">
        <f aca="false">B24+SUM(B25:B27)</f>
        <v>23680</v>
      </c>
      <c r="C28" s="35" t="n">
        <f aca="false">C24+SUM(C25:C27)</f>
        <v>23366</v>
      </c>
      <c r="D28" s="35" t="n">
        <f aca="false">D24+SUM(D25:D27)</f>
        <v>23545</v>
      </c>
      <c r="E28" s="36" t="n">
        <f aca="false">E24+SUM(E25:E27)</f>
        <v>20755.8313630137</v>
      </c>
      <c r="F28" s="36" t="n">
        <f aca="false">F24+SUM(F25:F27)</f>
        <v>20893.100232737</v>
      </c>
      <c r="G28" s="36" t="n">
        <f aca="false">G24+SUM(G25:G27)</f>
        <v>21260.1036970246</v>
      </c>
      <c r="H28" s="36" t="n">
        <f aca="false">H24+SUM(H25:H27)</f>
        <v>21656.3655657678</v>
      </c>
      <c r="I28" s="36" t="n">
        <f aca="false">I24+SUM(I25:I27)</f>
        <v>22024.2507902538</v>
      </c>
    </row>
    <row r="30" customFormat="false" ht="15" hidden="false" customHeight="false" outlineLevel="0" collapsed="false">
      <c r="A30" s="17" t="s">
        <v>143</v>
      </c>
      <c r="B30" s="18"/>
      <c r="C30" s="18"/>
      <c r="D30" s="18"/>
      <c r="E30" s="18"/>
      <c r="F30" s="18"/>
      <c r="G30" s="18"/>
      <c r="H30" s="18"/>
      <c r="I30" s="18"/>
    </row>
    <row r="31" customFormat="false" ht="15" hidden="false" customHeight="false" outlineLevel="0" collapsed="false">
      <c r="A31" s="4" t="s">
        <v>144</v>
      </c>
      <c r="B31" s="32" t="n">
        <v>13412</v>
      </c>
      <c r="C31" s="32" t="n">
        <v>14198</v>
      </c>
      <c r="D31" s="32" t="n">
        <v>15161</v>
      </c>
      <c r="E31" s="10" t="n">
        <f aca="false">D31+'Cash Flow'!E8</f>
        <v>15797.6225</v>
      </c>
      <c r="F31" s="10" t="n">
        <f aca="false">E31+'Cash Flow'!F8</f>
        <v>16446.178469</v>
      </c>
      <c r="G31" s="10" t="n">
        <f aca="false">F31+'Cash Flow'!G8</f>
        <v>17123.28216638</v>
      </c>
      <c r="H31" s="10" t="n">
        <f aca="false">G31+'Cash Flow'!H8</f>
        <v>17831.2347677462</v>
      </c>
      <c r="I31" s="10" t="n">
        <f aca="false">H31+'Cash Flow'!I8</f>
        <v>18568.1843882933</v>
      </c>
    </row>
    <row r="32" customFormat="false" ht="15" hidden="false" customHeight="false" outlineLevel="0" collapsed="false">
      <c r="A32" s="4" t="s">
        <v>145</v>
      </c>
      <c r="B32" s="32" t="n">
        <v>53</v>
      </c>
      <c r="C32" s="32" t="n">
        <v>-258</v>
      </c>
      <c r="D32" s="32" t="n">
        <v>-141</v>
      </c>
      <c r="E32" s="33" t="n">
        <f aca="false">D32</f>
        <v>-141</v>
      </c>
      <c r="F32" s="33" t="n">
        <f aca="false">E32</f>
        <v>-141</v>
      </c>
      <c r="G32" s="33" t="n">
        <f aca="false">F32</f>
        <v>-141</v>
      </c>
      <c r="H32" s="33" t="n">
        <f aca="false">G32</f>
        <v>-141</v>
      </c>
      <c r="I32" s="33" t="n">
        <f aca="false">H32</f>
        <v>-141</v>
      </c>
    </row>
    <row r="33" customFormat="false" ht="15" hidden="false" customHeight="false" outlineLevel="0" collapsed="false">
      <c r="A33" s="4" t="s">
        <v>146</v>
      </c>
      <c r="B33" s="32" t="n">
        <v>965</v>
      </c>
      <c r="C33" s="32" t="n">
        <v>-727</v>
      </c>
      <c r="D33" s="32" t="n">
        <v>-155</v>
      </c>
      <c r="E33" s="10" t="n">
        <f aca="false">D33+'Income Statement'!E15+'Cash Flow'!E24+'Cash Flow'!E25</f>
        <v>-1200.50163811276</v>
      </c>
      <c r="F33" s="10" t="n">
        <f aca="false">E33+'Income Statement'!F15+'Cash Flow'!F24+'Cash Flow'!F25</f>
        <v>-1940.39423829396</v>
      </c>
      <c r="G33" s="10" t="n">
        <f aca="false">F33+'Income Statement'!G15+'Cash Flow'!G24+'Cash Flow'!G25</f>
        <v>-2696.14243712837</v>
      </c>
      <c r="H33" s="10" t="n">
        <f aca="false">G33+'Income Statement'!H15+'Cash Flow'!H24+'Cash Flow'!H25</f>
        <v>-3825.20283344474</v>
      </c>
      <c r="I33" s="10" t="n">
        <f aca="false">H33+'Income Statement'!I15+'Cash Flow'!I24+'Cash Flow'!I25</f>
        <v>-4921.3692744263</v>
      </c>
    </row>
    <row r="34" customFormat="false" ht="15" hidden="false" customHeight="false" outlineLevel="0" collapsed="false">
      <c r="A34" s="3" t="s">
        <v>147</v>
      </c>
      <c r="B34" s="35" t="n">
        <f aca="false">SUM(B31:B33)</f>
        <v>14430</v>
      </c>
      <c r="C34" s="35" t="n">
        <f aca="false">SUM(C31:C33)</f>
        <v>13213</v>
      </c>
      <c r="D34" s="35" t="n">
        <f aca="false">SUM(D31:D33)</f>
        <v>14865</v>
      </c>
      <c r="E34" s="36" t="n">
        <f aca="false">SUM(E31:E33)</f>
        <v>14456.1208618872</v>
      </c>
      <c r="F34" s="36" t="n">
        <f aca="false">SUM(F31:F33)</f>
        <v>14364.784230706</v>
      </c>
      <c r="G34" s="36" t="n">
        <f aca="false">SUM(G31:G33)</f>
        <v>14286.1397292516</v>
      </c>
      <c r="H34" s="36" t="n">
        <f aca="false">SUM(H31:H33)</f>
        <v>13865.0319343015</v>
      </c>
      <c r="I34" s="36" t="n">
        <f aca="false">SUM(I31:I33)</f>
        <v>13505.815113867</v>
      </c>
    </row>
    <row r="35" customFormat="false" ht="15" hidden="false" customHeight="false" outlineLevel="0" collapsed="false">
      <c r="A35" s="3" t="s">
        <v>148</v>
      </c>
      <c r="B35" s="39" t="n">
        <f aca="false">B28+B34</f>
        <v>38110</v>
      </c>
      <c r="C35" s="39" t="n">
        <f aca="false">C28+C34</f>
        <v>36579</v>
      </c>
      <c r="D35" s="39" t="n">
        <f aca="false">D28+D34</f>
        <v>38410</v>
      </c>
      <c r="E35" s="40" t="n">
        <f aca="false">E28+E34</f>
        <v>35211.9522249009</v>
      </c>
      <c r="F35" s="40" t="n">
        <f aca="false">F28+F34</f>
        <v>35257.884463443</v>
      </c>
      <c r="G35" s="40" t="n">
        <f aca="false">G28+G34</f>
        <v>35546.2434262762</v>
      </c>
      <c r="H35" s="40" t="n">
        <f aca="false">H28+H34</f>
        <v>35521.3975000692</v>
      </c>
      <c r="I35" s="40" t="n">
        <f aca="false">I28+I34</f>
        <v>35530.0659041208</v>
      </c>
    </row>
    <row r="37" customFormat="false" ht="15" hidden="false" customHeight="false" outlineLevel="0" collapsed="false">
      <c r="A37" s="4" t="s">
        <v>149</v>
      </c>
      <c r="B37" s="47" t="n">
        <f aca="false">ROUND(B16-B35,0)</f>
        <v>0</v>
      </c>
      <c r="C37" s="47" t="n">
        <f aca="false">ROUND(C16-C35,0)</f>
        <v>0</v>
      </c>
      <c r="D37" s="47" t="n">
        <f aca="false">ROUND(D16-D35,0)</f>
        <v>0</v>
      </c>
      <c r="E37" s="33" t="n">
        <f aca="false">ROUND(E16-E35,0)</f>
        <v>0</v>
      </c>
      <c r="F37" s="33" t="n">
        <f aca="false">ROUND(F16-F35,0)</f>
        <v>0</v>
      </c>
      <c r="G37" s="33" t="n">
        <f aca="false">ROUND(G16-G35,0)</f>
        <v>0</v>
      </c>
      <c r="H37" s="33" t="n">
        <f aca="false">ROUND(H16-H35,0)</f>
        <v>0</v>
      </c>
      <c r="I37" s="33" t="n">
        <f aca="false">ROUND(I16-I35,0)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1"/>
  </cols>
  <sheetData>
    <row r="1" customFormat="false" ht="17.35" hidden="false" customHeight="false" outlineLevel="0" collapsed="false">
      <c r="A1" s="6" t="s">
        <v>150</v>
      </c>
    </row>
    <row r="2" customFormat="false" ht="15" hidden="false" customHeight="false" outlineLevel="0" collapsed="false">
      <c r="A2" s="2" t="s">
        <v>151</v>
      </c>
    </row>
    <row r="4" customFormat="false" ht="15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</row>
    <row r="5" customFormat="false" ht="15" hidden="false" customHeight="false" outlineLevel="0" collapsed="false">
      <c r="A5" s="17" t="s">
        <v>152</v>
      </c>
      <c r="B5" s="18"/>
      <c r="C5" s="18"/>
      <c r="D5" s="18"/>
      <c r="E5" s="18"/>
      <c r="F5" s="18"/>
      <c r="G5" s="18"/>
      <c r="H5" s="18"/>
      <c r="I5" s="18"/>
    </row>
    <row r="6" customFormat="false" ht="15" hidden="false" customHeight="false" outlineLevel="0" collapsed="false">
      <c r="A6" s="4" t="s">
        <v>46</v>
      </c>
      <c r="B6" s="47" t="n">
        <f aca="false">'Income Statement'!B15</f>
        <v>5700</v>
      </c>
      <c r="C6" s="47" t="n">
        <f aca="false">'Income Statement'!C15</f>
        <v>3219</v>
      </c>
      <c r="D6" s="47" t="n">
        <f aca="false">'Income Statement'!D15</f>
        <v>3108</v>
      </c>
      <c r="E6" s="10" t="n">
        <f aca="false">'Income Statement'!E15</f>
        <v>1614.342555</v>
      </c>
      <c r="F6" s="10" t="n">
        <f aca="false">'Income Statement'!F15</f>
        <v>2405.86606513503</v>
      </c>
      <c r="G6" s="10" t="n">
        <f aca="false">'Income Statement'!G15</f>
        <v>3175.05498876406</v>
      </c>
      <c r="H6" s="10" t="n">
        <f aca="false">'Income Statement'!H15</f>
        <v>3857.44867124394</v>
      </c>
      <c r="I6" s="10" t="n">
        <f aca="false">'Income Statement'!I15</f>
        <v>4437.15300970018</v>
      </c>
    </row>
    <row r="7" customFormat="false" ht="15" hidden="false" customHeight="false" outlineLevel="0" collapsed="false">
      <c r="A7" s="4" t="s">
        <v>72</v>
      </c>
      <c r="B7" s="32" t="n">
        <v>796</v>
      </c>
      <c r="C7" s="32" t="n">
        <v>775</v>
      </c>
      <c r="D7" s="32" t="n">
        <v>747</v>
      </c>
      <c r="E7" s="10" t="n">
        <f aca="false">'Income Statement'!E5*Assumptions!E45</f>
        <v>679.064</v>
      </c>
      <c r="F7" s="10" t="n">
        <f aca="false">'Income Statement'!F5*Assumptions!F45</f>
        <v>691.7930336</v>
      </c>
      <c r="G7" s="10" t="n">
        <f aca="false">'Income Statement'!G5*Assumptions!G45</f>
        <v>722.243943872</v>
      </c>
      <c r="H7" s="10" t="n">
        <f aca="false">'Income Statement'!H5*Assumptions!H45</f>
        <v>755.14944145728</v>
      </c>
      <c r="I7" s="10" t="n">
        <f aca="false">'Income Statement'!I5*Assumptions!I45</f>
        <v>786.079595250211</v>
      </c>
    </row>
    <row r="8" customFormat="false" ht="15" hidden="false" customHeight="false" outlineLevel="0" collapsed="false">
      <c r="A8" s="4" t="s">
        <v>153</v>
      </c>
      <c r="B8" s="32" t="n">
        <v>804</v>
      </c>
      <c r="C8" s="32" t="n">
        <v>709</v>
      </c>
      <c r="D8" s="32" t="n">
        <v>715</v>
      </c>
      <c r="E8" s="10" t="n">
        <f aca="false">'Income Statement'!E5*Assumptions!E46</f>
        <v>636.6225</v>
      </c>
      <c r="F8" s="10" t="n">
        <f aca="false">'Income Statement'!F5*Assumptions!F46</f>
        <v>648.555969</v>
      </c>
      <c r="G8" s="10" t="n">
        <f aca="false">'Income Statement'!G5*Assumptions!G46</f>
        <v>677.10369738</v>
      </c>
      <c r="H8" s="10" t="n">
        <f aca="false">'Income Statement'!H5*Assumptions!H46</f>
        <v>707.9526013662</v>
      </c>
      <c r="I8" s="10" t="n">
        <f aca="false">'Income Statement'!I5*Assumptions!I46</f>
        <v>736.949620547073</v>
      </c>
    </row>
    <row r="9" customFormat="false" ht="15" hidden="false" customHeight="false" outlineLevel="0" collapsed="false">
      <c r="A9" s="4" t="s">
        <v>154</v>
      </c>
      <c r="B9" s="22"/>
      <c r="C9" s="22"/>
      <c r="D9" s="22"/>
      <c r="E9" s="10" t="n">
        <f aca="false">'Balance Sheet'!D8-'Balance Sheet'!E8</f>
        <v>814.764383561644</v>
      </c>
      <c r="F9" s="10" t="n">
        <f aca="false">'Balance Sheet'!E8-'Balance Sheet'!F8</f>
        <v>141.011744657534</v>
      </c>
      <c r="G9" s="10" t="n">
        <f aca="false">'Balance Sheet'!F8-'Balance Sheet'!G8</f>
        <v>28.3475438904106</v>
      </c>
      <c r="H9" s="10" t="n">
        <f aca="false">'Balance Sheet'!G8-'Balance Sheet'!H8</f>
        <v>-225.380120447123</v>
      </c>
      <c r="I9" s="10" t="n">
        <f aca="false">'Balance Sheet'!H8-'Balance Sheet'!I8</f>
        <v>-211.850368444734</v>
      </c>
    </row>
    <row r="10" customFormat="false" ht="15" hidden="false" customHeight="false" outlineLevel="0" collapsed="false">
      <c r="A10" s="4" t="s">
        <v>155</v>
      </c>
      <c r="B10" s="22"/>
      <c r="C10" s="22"/>
      <c r="D10" s="22"/>
      <c r="E10" s="10" t="n">
        <f aca="false">'Balance Sheet'!D9-'Balance Sheet'!E9</f>
        <v>815.010273972603</v>
      </c>
      <c r="F10" s="10" t="n">
        <f aca="false">'Balance Sheet'!E9-'Balance Sheet'!F9</f>
        <v>68.9419765589037</v>
      </c>
      <c r="G10" s="10" t="n">
        <f aca="false">'Balance Sheet'!F9-'Balance Sheet'!G9</f>
        <v>-90.9165511509036</v>
      </c>
      <c r="H10" s="10" t="n">
        <f aca="false">'Balance Sheet'!G9-'Balance Sheet'!H9</f>
        <v>-171.136775669524</v>
      </c>
      <c r="I10" s="10" t="n">
        <f aca="false">'Balance Sheet'!H9-'Balance Sheet'!I9</f>
        <v>-217.824721582206</v>
      </c>
    </row>
    <row r="11" customFormat="false" ht="15" hidden="false" customHeight="false" outlineLevel="0" collapsed="false">
      <c r="A11" s="4" t="s">
        <v>156</v>
      </c>
      <c r="B11" s="22"/>
      <c r="C11" s="22"/>
      <c r="D11" s="22"/>
      <c r="E11" s="10" t="n">
        <f aca="false">'Balance Sheet'!D10-'Balance Sheet'!E10</f>
        <v>191.691</v>
      </c>
      <c r="F11" s="10" t="n">
        <f aca="false">'Balance Sheet'!E10-'Balance Sheet'!F10</f>
        <v>-36.5959716000002</v>
      </c>
      <c r="G11" s="10" t="n">
        <f aca="false">'Balance Sheet'!F10-'Balance Sheet'!G10</f>
        <v>-87.5463670320003</v>
      </c>
      <c r="H11" s="10" t="n">
        <f aca="false">'Balance Sheet'!G10-'Balance Sheet'!H10</f>
        <v>-94.60330555768</v>
      </c>
      <c r="I11" s="10" t="n">
        <f aca="false">'Balance Sheet'!H10-'Balance Sheet'!I10</f>
        <v>-88.9241921546773</v>
      </c>
    </row>
    <row r="12" customFormat="false" ht="15" hidden="false" customHeight="false" outlineLevel="0" collapsed="false">
      <c r="A12" s="4" t="s">
        <v>157</v>
      </c>
      <c r="B12" s="22"/>
      <c r="C12" s="22"/>
      <c r="D12" s="22"/>
      <c r="E12" s="10" t="n">
        <f aca="false">'Balance Sheet'!E20-'Balance Sheet'!D20</f>
        <v>-257.005136986301</v>
      </c>
      <c r="F12" s="10" t="n">
        <f aca="false">'Balance Sheet'!F20-'Balance Sheet'!E20</f>
        <v>33.0499071232885</v>
      </c>
      <c r="G12" s="10" t="n">
        <f aca="false">'Balance Sheet'!G20-'Balance Sheet'!F20</f>
        <v>117.686636435616</v>
      </c>
      <c r="H12" s="10" t="n">
        <f aca="false">'Balance Sheet'!H20-'Balance Sheet'!G20</f>
        <v>126.848107263672</v>
      </c>
      <c r="I12" s="10" t="n">
        <f aca="false">'Balance Sheet'!I20-'Balance Sheet'!H20</f>
        <v>114.644590306425</v>
      </c>
    </row>
    <row r="13" customFormat="false" ht="15" hidden="false" customHeight="false" outlineLevel="0" collapsed="false">
      <c r="A13" s="4" t="s">
        <v>158</v>
      </c>
      <c r="B13" s="22"/>
      <c r="C13" s="22"/>
      <c r="D13" s="22"/>
      <c r="E13" s="10" t="n">
        <f aca="false">'Balance Sheet'!E21-'Balance Sheet'!D21</f>
        <v>-532.1635</v>
      </c>
      <c r="F13" s="10" t="n">
        <f aca="false">'Balance Sheet'!F21-'Balance Sheet'!E21</f>
        <v>104.218962600001</v>
      </c>
      <c r="G13" s="10" t="n">
        <f aca="false">'Balance Sheet'!G21-'Balance Sheet'!F21</f>
        <v>249.316827852</v>
      </c>
      <c r="H13" s="10" t="n">
        <f aca="false">'Balance Sheet'!H21-'Balance Sheet'!G21</f>
        <v>269.41376147948</v>
      </c>
      <c r="I13" s="10" t="n">
        <f aca="false">'Balance Sheet'!I21-'Balance Sheet'!H21</f>
        <v>253.240634179624</v>
      </c>
    </row>
    <row r="14" customFormat="false" ht="15" hidden="false" customHeight="false" outlineLevel="0" collapsed="false">
      <c r="A14" s="4" t="s">
        <v>159</v>
      </c>
      <c r="B14" s="47" t="n">
        <f aca="false">7429-B6-B7-B8</f>
        <v>129</v>
      </c>
      <c r="C14" s="47" t="n">
        <f aca="false">3698-C6-C7-C8</f>
        <v>-1005</v>
      </c>
      <c r="D14" s="47" t="n">
        <f aca="false">2868-D6-D7-D8</f>
        <v>-1702</v>
      </c>
      <c r="E14" s="33" t="n">
        <v>0</v>
      </c>
      <c r="F14" s="33" t="n">
        <v>0</v>
      </c>
      <c r="G14" s="33" t="n">
        <v>0</v>
      </c>
      <c r="H14" s="33" t="n">
        <v>0</v>
      </c>
      <c r="I14" s="33" t="n">
        <v>0</v>
      </c>
    </row>
    <row r="15" customFormat="false" ht="15" hidden="false" customHeight="false" outlineLevel="0" collapsed="false">
      <c r="A15" s="3" t="s">
        <v>160</v>
      </c>
      <c r="B15" s="35" t="n">
        <f aca="false">SUM(B6:B14)</f>
        <v>7429</v>
      </c>
      <c r="C15" s="35" t="n">
        <f aca="false">SUM(C6:C14)</f>
        <v>3698</v>
      </c>
      <c r="D15" s="35" t="n">
        <f aca="false">SUM(D6:D14)</f>
        <v>2868</v>
      </c>
      <c r="E15" s="36" t="n">
        <f aca="false">SUM(E6:E14)</f>
        <v>3962.32607554795</v>
      </c>
      <c r="F15" s="36" t="n">
        <f aca="false">SUM(F6:F14)</f>
        <v>4056.84168707476</v>
      </c>
      <c r="G15" s="36" t="n">
        <f aca="false">SUM(G6:G14)</f>
        <v>4791.29072001118</v>
      </c>
      <c r="H15" s="36" t="n">
        <f aca="false">SUM(H6:H14)</f>
        <v>5225.69238113624</v>
      </c>
      <c r="I15" s="36" t="n">
        <f aca="false">SUM(I6:I14)</f>
        <v>5809.4681678019</v>
      </c>
    </row>
    <row r="17" customFormat="false" ht="15" hidden="false" customHeight="false" outlineLevel="0" collapsed="false">
      <c r="A17" s="17" t="s">
        <v>161</v>
      </c>
      <c r="B17" s="18"/>
      <c r="C17" s="18"/>
      <c r="D17" s="18"/>
      <c r="E17" s="18"/>
      <c r="F17" s="18"/>
      <c r="G17" s="18"/>
      <c r="H17" s="18"/>
      <c r="I17" s="18"/>
    </row>
    <row r="18" customFormat="false" ht="15" hidden="false" customHeight="false" outlineLevel="0" collapsed="false">
      <c r="A18" s="4" t="s">
        <v>162</v>
      </c>
      <c r="B18" s="32" t="n">
        <v>-812</v>
      </c>
      <c r="C18" s="32" t="n">
        <v>-430</v>
      </c>
      <c r="D18" s="32" t="n">
        <v>-684</v>
      </c>
      <c r="E18" s="10" t="n">
        <f aca="false">-'Income Statement'!E5*Assumptions!E47</f>
        <v>-679.064</v>
      </c>
      <c r="F18" s="10" t="n">
        <f aca="false">-'Income Statement'!F5*Assumptions!F47</f>
        <v>-691.7930336</v>
      </c>
      <c r="G18" s="10" t="n">
        <f aca="false">-'Income Statement'!G5*Assumptions!G47</f>
        <v>-722.243943872</v>
      </c>
      <c r="H18" s="10" t="n">
        <f aca="false">-'Income Statement'!H5*Assumptions!H47</f>
        <v>-755.14944145728</v>
      </c>
      <c r="I18" s="10" t="n">
        <f aca="false">-'Income Statement'!I5*Assumptions!I47</f>
        <v>-786.079595250211</v>
      </c>
    </row>
    <row r="19" customFormat="false" ht="15" hidden="false" customHeight="false" outlineLevel="0" collapsed="false">
      <c r="A19" s="4" t="s">
        <v>163</v>
      </c>
      <c r="B19" s="47" t="n">
        <f aca="false">894-B18</f>
        <v>1706</v>
      </c>
      <c r="C19" s="47" t="n">
        <f aca="false">-275-C18</f>
        <v>155</v>
      </c>
      <c r="D19" s="47" t="n">
        <f aca="false">-488-D18</f>
        <v>196</v>
      </c>
      <c r="E19" s="33" t="n">
        <v>0</v>
      </c>
      <c r="F19" s="33" t="n">
        <v>0</v>
      </c>
      <c r="G19" s="33" t="n">
        <v>0</v>
      </c>
      <c r="H19" s="33" t="n">
        <v>0</v>
      </c>
      <c r="I19" s="33" t="n">
        <v>0</v>
      </c>
    </row>
    <row r="20" customFormat="false" ht="15" hidden="false" customHeight="false" outlineLevel="0" collapsed="false">
      <c r="A20" s="3" t="s">
        <v>164</v>
      </c>
      <c r="B20" s="35" t="n">
        <f aca="false">B18+B19</f>
        <v>894</v>
      </c>
      <c r="C20" s="35" t="n">
        <f aca="false">C18+C19</f>
        <v>-275</v>
      </c>
      <c r="D20" s="35" t="n">
        <f aca="false">D18+D19</f>
        <v>-488</v>
      </c>
      <c r="E20" s="36" t="n">
        <f aca="false">E18+E19</f>
        <v>-679.064</v>
      </c>
      <c r="F20" s="36" t="n">
        <f aca="false">F18+F19</f>
        <v>-691.7930336</v>
      </c>
      <c r="G20" s="36" t="n">
        <f aca="false">G18+G19</f>
        <v>-722.243943872</v>
      </c>
      <c r="H20" s="36" t="n">
        <f aca="false">H18+H19</f>
        <v>-755.14944145728</v>
      </c>
      <c r="I20" s="36" t="n">
        <f aca="false">I18+I19</f>
        <v>-786.079595250211</v>
      </c>
    </row>
    <row r="22" customFormat="false" ht="15" hidden="false" customHeight="false" outlineLevel="0" collapsed="false">
      <c r="A22" s="17" t="s">
        <v>165</v>
      </c>
      <c r="B22" s="18"/>
      <c r="C22" s="18"/>
      <c r="D22" s="18"/>
      <c r="E22" s="18"/>
      <c r="F22" s="18"/>
      <c r="G22" s="18"/>
      <c r="H22" s="18"/>
      <c r="I22" s="18"/>
    </row>
    <row r="23" customFormat="false" ht="15" hidden="false" customHeight="false" outlineLevel="0" collapsed="false">
      <c r="A23" s="4" t="s">
        <v>166</v>
      </c>
      <c r="B23" s="32" t="n">
        <v>0</v>
      </c>
      <c r="C23" s="32" t="n">
        <v>-1001</v>
      </c>
      <c r="D23" s="32" t="n">
        <v>0</v>
      </c>
      <c r="E23" s="10" t="n">
        <f aca="false">-Assumptions!E62</f>
        <v>-2000</v>
      </c>
      <c r="F23" s="10" t="n">
        <f aca="false">-Assumptions!F62</f>
        <v>-0</v>
      </c>
      <c r="G23" s="10" t="n">
        <f aca="false">-Assumptions!G62</f>
        <v>-0</v>
      </c>
      <c r="H23" s="10" t="n">
        <f aca="false">-Assumptions!H62</f>
        <v>-0</v>
      </c>
      <c r="I23" s="10" t="n">
        <f aca="false">-Assumptions!I62</f>
        <v>-0</v>
      </c>
    </row>
    <row r="24" customFormat="false" ht="15" hidden="false" customHeight="false" outlineLevel="0" collapsed="false">
      <c r="A24" s="4" t="s">
        <v>167</v>
      </c>
      <c r="B24" s="32" t="n">
        <v>-2169</v>
      </c>
      <c r="C24" s="32" t="n">
        <v>-2300</v>
      </c>
      <c r="D24" s="32" t="n">
        <v>-2407</v>
      </c>
      <c r="E24" s="10" t="n">
        <f aca="false">-'Income Statement'!E19*'Income Statement'!E17</f>
        <v>-2409.84419311276</v>
      </c>
      <c r="F24" s="10" t="n">
        <f aca="false">-'Income Statement'!F19*'Income Statement'!F17</f>
        <v>-2395.75866531623</v>
      </c>
      <c r="G24" s="10" t="n">
        <f aca="false">-'Income Statement'!G19*'Income Statement'!G17</f>
        <v>-2430.80318759847</v>
      </c>
      <c r="H24" s="10" t="n">
        <f aca="false">-'Income Statement'!H19*'Income Statement'!H17</f>
        <v>-2486.50906756031</v>
      </c>
      <c r="I24" s="10" t="n">
        <f aca="false">-'Income Statement'!I19*'Income Statement'!I17</f>
        <v>-2533.31945068174</v>
      </c>
    </row>
    <row r="25" customFormat="false" ht="15" hidden="false" customHeight="false" outlineLevel="0" collapsed="false">
      <c r="A25" s="4" t="s">
        <v>168</v>
      </c>
      <c r="B25" s="32" t="n">
        <v>-4250</v>
      </c>
      <c r="C25" s="32" t="n">
        <v>-2985</v>
      </c>
      <c r="D25" s="32" t="n">
        <v>-146</v>
      </c>
      <c r="E25" s="10" t="n">
        <f aca="false">-Assumptions!E64</f>
        <v>-250</v>
      </c>
      <c r="F25" s="10" t="n">
        <f aca="false">-Assumptions!F64</f>
        <v>-750</v>
      </c>
      <c r="G25" s="10" t="n">
        <f aca="false">-Assumptions!G64</f>
        <v>-1500</v>
      </c>
      <c r="H25" s="10" t="n">
        <f aca="false">-Assumptions!H64</f>
        <v>-2500</v>
      </c>
      <c r="I25" s="10" t="n">
        <f aca="false">-Assumptions!I64</f>
        <v>-3000</v>
      </c>
    </row>
    <row r="26" customFormat="false" ht="15" hidden="false" customHeight="false" outlineLevel="0" collapsed="false">
      <c r="A26" s="4" t="s">
        <v>169</v>
      </c>
      <c r="B26" s="47" t="n">
        <f aca="false">-5888-B23-B24-B25</f>
        <v>531</v>
      </c>
      <c r="C26" s="47" t="n">
        <f aca="false">-5820-C23-C24-C25</f>
        <v>466</v>
      </c>
      <c r="D26" s="47" t="n">
        <f aca="false">-2292-D23-D24-D25</f>
        <v>261</v>
      </c>
      <c r="E26" s="33" t="n">
        <v>0</v>
      </c>
      <c r="F26" s="33" t="n">
        <v>0</v>
      </c>
      <c r="G26" s="33" t="n">
        <v>0</v>
      </c>
      <c r="H26" s="33" t="n">
        <v>0</v>
      </c>
      <c r="I26" s="33" t="n">
        <v>0</v>
      </c>
    </row>
    <row r="27" customFormat="false" ht="15" hidden="false" customHeight="false" outlineLevel="0" collapsed="false">
      <c r="A27" s="3" t="s">
        <v>170</v>
      </c>
      <c r="B27" s="35" t="n">
        <f aca="false">SUM(B23:B26)</f>
        <v>-5888</v>
      </c>
      <c r="C27" s="35" t="n">
        <f aca="false">SUM(C23:C26)</f>
        <v>-5820</v>
      </c>
      <c r="D27" s="35" t="n">
        <f aca="false">SUM(D23:D26)</f>
        <v>-2292</v>
      </c>
      <c r="E27" s="36" t="n">
        <f aca="false">SUM(E23:E26)</f>
        <v>-4659.84419311276</v>
      </c>
      <c r="F27" s="36" t="n">
        <f aca="false">SUM(F23:F26)</f>
        <v>-3145.75866531623</v>
      </c>
      <c r="G27" s="36" t="n">
        <f aca="false">SUM(G23:G26)</f>
        <v>-3930.80318759847</v>
      </c>
      <c r="H27" s="36" t="n">
        <f aca="false">SUM(H23:H26)</f>
        <v>-4986.50906756031</v>
      </c>
      <c r="I27" s="36" t="n">
        <f aca="false">SUM(I23:I26)</f>
        <v>-5533.31945068174</v>
      </c>
    </row>
    <row r="29" customFormat="false" ht="15" hidden="false" customHeight="false" outlineLevel="0" collapsed="false">
      <c r="A29" s="4" t="s">
        <v>171</v>
      </c>
      <c r="B29" s="32" t="n">
        <v>-16</v>
      </c>
      <c r="C29" s="32" t="n">
        <v>1</v>
      </c>
      <c r="D29" s="32" t="n">
        <v>11</v>
      </c>
      <c r="E29" s="33" t="n">
        <v>0</v>
      </c>
      <c r="F29" s="33" t="n">
        <v>0</v>
      </c>
      <c r="G29" s="33" t="n">
        <v>0</v>
      </c>
      <c r="H29" s="33" t="n">
        <v>0</v>
      </c>
      <c r="I29" s="33" t="n">
        <v>0</v>
      </c>
    </row>
    <row r="30" customFormat="false" ht="15" hidden="false" customHeight="false" outlineLevel="0" collapsed="false">
      <c r="A30" s="3" t="s">
        <v>172</v>
      </c>
      <c r="B30" s="35" t="n">
        <f aca="false">B15+B20+B27+B29</f>
        <v>2419</v>
      </c>
      <c r="C30" s="35" t="n">
        <f aca="false">C15+C20+C27+C29</f>
        <v>-2396</v>
      </c>
      <c r="D30" s="35" t="n">
        <f aca="false">D15+D20+D27+D29</f>
        <v>99</v>
      </c>
      <c r="E30" s="36" t="n">
        <f aca="false">E15+E20+E27+E29</f>
        <v>-1376.58211756482</v>
      </c>
      <c r="F30" s="36" t="n">
        <f aca="false">F15+F20+F27+F29</f>
        <v>219.289988158534</v>
      </c>
      <c r="G30" s="36" t="n">
        <f aca="false">G15+G20+G27+G29</f>
        <v>138.243588540708</v>
      </c>
      <c r="H30" s="36" t="n">
        <f aca="false">H15+H20+H27+H29</f>
        <v>-515.966127881346</v>
      </c>
      <c r="I30" s="36" t="n">
        <f aca="false">I15+I20+I27+I29</f>
        <v>-509.930878130057</v>
      </c>
    </row>
    <row r="31" customFormat="false" ht="15" hidden="false" customHeight="false" outlineLevel="0" collapsed="false">
      <c r="A31" s="4" t="s">
        <v>173</v>
      </c>
      <c r="B31" s="32" t="n">
        <v>7441</v>
      </c>
      <c r="C31" s="32" t="n">
        <v>9860</v>
      </c>
      <c r="D31" s="32" t="n">
        <v>7464</v>
      </c>
      <c r="E31" s="33" t="n">
        <f aca="false">D32</f>
        <v>7563</v>
      </c>
      <c r="F31" s="33" t="n">
        <f aca="false">E32</f>
        <v>6186.41788243518</v>
      </c>
      <c r="G31" s="33" t="n">
        <f aca="false">F32</f>
        <v>6405.70787059372</v>
      </c>
      <c r="H31" s="33" t="n">
        <f aca="false">G32</f>
        <v>6543.95145913443</v>
      </c>
      <c r="I31" s="33" t="n">
        <f aca="false">H32</f>
        <v>6027.98533125308</v>
      </c>
    </row>
    <row r="32" customFormat="false" ht="15" hidden="false" customHeight="false" outlineLevel="0" collapsed="false">
      <c r="A32" s="3" t="s">
        <v>174</v>
      </c>
      <c r="B32" s="39" t="n">
        <f aca="false">B31+B30</f>
        <v>9860</v>
      </c>
      <c r="C32" s="39" t="n">
        <f aca="false">C31+C30</f>
        <v>7464</v>
      </c>
      <c r="D32" s="39" t="n">
        <f aca="false">D31+D30</f>
        <v>7563</v>
      </c>
      <c r="E32" s="40" t="n">
        <f aca="false">E31+E30</f>
        <v>6186.41788243518</v>
      </c>
      <c r="F32" s="40" t="n">
        <f aca="false">F31+F30</f>
        <v>6405.70787059372</v>
      </c>
      <c r="G32" s="40" t="n">
        <f aca="false">G31+G30</f>
        <v>6543.95145913443</v>
      </c>
      <c r="H32" s="40" t="n">
        <f aca="false">H31+H30</f>
        <v>6027.98533125308</v>
      </c>
      <c r="I32" s="40" t="n">
        <f aca="false">I31+I30</f>
        <v>5518.05445312302</v>
      </c>
    </row>
    <row r="34" customFormat="false" ht="15" hidden="false" customHeight="false" outlineLevel="0" collapsed="false">
      <c r="A34" s="17" t="s">
        <v>49</v>
      </c>
      <c r="B34" s="18"/>
      <c r="C34" s="18"/>
      <c r="D34" s="18"/>
      <c r="E34" s="18"/>
      <c r="F34" s="18"/>
      <c r="G34" s="18"/>
      <c r="H34" s="18"/>
      <c r="I34" s="18"/>
    </row>
    <row r="35" customFormat="false" ht="15" hidden="false" customHeight="false" outlineLevel="0" collapsed="false">
      <c r="A35" s="3" t="s">
        <v>175</v>
      </c>
      <c r="B35" s="48" t="n">
        <f aca="false">B15+B18</f>
        <v>6617</v>
      </c>
      <c r="C35" s="48" t="n">
        <f aca="false">C15+C18</f>
        <v>3268</v>
      </c>
      <c r="D35" s="48" t="n">
        <f aca="false">D15+D18</f>
        <v>2184</v>
      </c>
      <c r="E35" s="49" t="n">
        <f aca="false">E15+E18</f>
        <v>3283.26207554795</v>
      </c>
      <c r="F35" s="49" t="n">
        <f aca="false">F15+F18</f>
        <v>3365.04865347476</v>
      </c>
      <c r="G35" s="49" t="n">
        <f aca="false">G15+G18</f>
        <v>4069.04677613918</v>
      </c>
      <c r="H35" s="49" t="n">
        <f aca="false">H15+H18</f>
        <v>4470.54293967896</v>
      </c>
      <c r="I35" s="49" t="n">
        <f aca="false">I15+I18</f>
        <v>5023.38857255169</v>
      </c>
    </row>
    <row r="36" customFormat="false" ht="15" hidden="false" customHeight="false" outlineLevel="0" collapsed="false">
      <c r="A36" s="4" t="s">
        <v>50</v>
      </c>
      <c r="B36" s="47" t="n">
        <f aca="false">-B24-B25</f>
        <v>6419</v>
      </c>
      <c r="C36" s="47" t="n">
        <f aca="false">-C24-C25</f>
        <v>5285</v>
      </c>
      <c r="D36" s="47" t="n">
        <f aca="false">-D24-D25</f>
        <v>2553</v>
      </c>
      <c r="E36" s="33" t="n">
        <f aca="false">-E24-E25</f>
        <v>2659.84419311276</v>
      </c>
      <c r="F36" s="33" t="n">
        <f aca="false">-F24-F25</f>
        <v>3145.75866531623</v>
      </c>
      <c r="G36" s="33" t="n">
        <f aca="false">-G24-G25</f>
        <v>3930.80318759847</v>
      </c>
      <c r="H36" s="33" t="n">
        <f aca="false">-H24-H25</f>
        <v>4986.50906756031</v>
      </c>
      <c r="I36" s="33" t="n">
        <f aca="false">-I24-I25</f>
        <v>5533.31945068174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1"/>
  </cols>
  <sheetData>
    <row r="1" customFormat="false" ht="17.35" hidden="false" customHeight="false" outlineLevel="0" collapsed="false">
      <c r="A1" s="6" t="s">
        <v>176</v>
      </c>
    </row>
    <row r="2" customFormat="false" ht="15" hidden="false" customHeight="false" outlineLevel="0" collapsed="false">
      <c r="A2" s="2" t="s">
        <v>177</v>
      </c>
    </row>
    <row r="4" customFormat="false" ht="15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</row>
    <row r="5" customFormat="false" ht="15" hidden="false" customHeight="false" outlineLevel="0" collapsed="false">
      <c r="A5" s="17" t="s">
        <v>178</v>
      </c>
      <c r="B5" s="18"/>
      <c r="C5" s="18"/>
      <c r="D5" s="18"/>
      <c r="E5" s="18"/>
      <c r="F5" s="18"/>
      <c r="G5" s="18"/>
      <c r="H5" s="18"/>
      <c r="I5" s="18"/>
    </row>
    <row r="6" customFormat="false" ht="15" hidden="false" customHeight="false" outlineLevel="0" collapsed="false">
      <c r="A6" s="4" t="s">
        <v>56</v>
      </c>
      <c r="B6" s="22"/>
      <c r="C6" s="9" t="n">
        <f aca="false">'Revenue Build'!C6</f>
        <v>19572</v>
      </c>
      <c r="D6" s="9" t="n">
        <f aca="false">'Revenue Build'!D6</f>
        <v>20511</v>
      </c>
      <c r="E6" s="33" t="n">
        <f aca="false">D6*(1+Assumptions!E16)</f>
        <v>19280.34</v>
      </c>
      <c r="F6" s="33" t="n">
        <f aca="false">E6*(1+Assumptions!F16)</f>
        <v>19858.7502</v>
      </c>
      <c r="G6" s="33" t="n">
        <f aca="false">F6*(1+Assumptions!G16)</f>
        <v>20851.68771</v>
      </c>
      <c r="H6" s="33" t="n">
        <f aca="false">G6*(1+Assumptions!H16)</f>
        <v>21894.2720955</v>
      </c>
      <c r="I6" s="33" t="n">
        <f aca="false">H6*(1+Assumptions!I16)</f>
        <v>22770.04297932</v>
      </c>
    </row>
    <row r="7" customFormat="false" ht="15" hidden="false" customHeight="false" outlineLevel="0" collapsed="false">
      <c r="A7" s="4" t="s">
        <v>57</v>
      </c>
      <c r="B7" s="22"/>
      <c r="C7" s="9" t="n">
        <f aca="false">'Revenue Build'!C7</f>
        <v>12257</v>
      </c>
      <c r="D7" s="9" t="n">
        <f aca="false">'Revenue Build'!D7</f>
        <v>12572</v>
      </c>
      <c r="E7" s="33" t="n">
        <f aca="false">D7*(1+Assumptions!E17)</f>
        <v>11566.24</v>
      </c>
      <c r="F7" s="33" t="n">
        <f aca="false">E7*(1+Assumptions!F17)</f>
        <v>11797.5648</v>
      </c>
      <c r="G7" s="33" t="n">
        <f aca="false">F7*(1+Assumptions!G17)</f>
        <v>12269.467392</v>
      </c>
      <c r="H7" s="33" t="n">
        <f aca="false">G7*(1+Assumptions!H17)</f>
        <v>12760.24608768</v>
      </c>
      <c r="I7" s="33" t="n">
        <f aca="false">H7*(1+Assumptions!I17)</f>
        <v>13270.6559311872</v>
      </c>
    </row>
    <row r="8" customFormat="false" ht="15" hidden="false" customHeight="false" outlineLevel="0" collapsed="false">
      <c r="A8" s="4" t="s">
        <v>58</v>
      </c>
      <c r="B8" s="22"/>
      <c r="C8" s="9" t="n">
        <f aca="false">'Revenue Build'!C8</f>
        <v>6586</v>
      </c>
      <c r="D8" s="9" t="n">
        <f aca="false">'Revenue Build'!D8</f>
        <v>5847</v>
      </c>
      <c r="E8" s="33" t="n">
        <f aca="false">D8*(1+Assumptions!E18)</f>
        <v>4677.6</v>
      </c>
      <c r="F8" s="33" t="n">
        <f aca="false">E8*(1+Assumptions!F18)</f>
        <v>4537.272</v>
      </c>
      <c r="G8" s="33" t="n">
        <f aca="false">F8*(1+Assumptions!G18)</f>
        <v>4673.39016</v>
      </c>
      <c r="H8" s="33" t="n">
        <f aca="false">G8*(1+Assumptions!H18)</f>
        <v>4860.3257664</v>
      </c>
      <c r="I8" s="33" t="n">
        <f aca="false">H8*(1+Assumptions!I18)</f>
        <v>5054.738797056</v>
      </c>
    </row>
    <row r="9" customFormat="false" ht="15" hidden="false" customHeight="false" outlineLevel="0" collapsed="false">
      <c r="A9" s="4" t="s">
        <v>59</v>
      </c>
      <c r="B9" s="22"/>
      <c r="C9" s="9" t="n">
        <f aca="false">'Revenue Build'!C9</f>
        <v>6251</v>
      </c>
      <c r="D9" s="9" t="n">
        <f aca="false">'Revenue Build'!D9</f>
        <v>6243</v>
      </c>
      <c r="E9" s="33" t="n">
        <f aca="false">D9*(1+Assumptions!E19)</f>
        <v>5868.42</v>
      </c>
      <c r="F9" s="33" t="n">
        <f aca="false">E9*(1+Assumptions!F19)</f>
        <v>6044.4726</v>
      </c>
      <c r="G9" s="33" t="n">
        <f aca="false">F9*(1+Assumptions!G19)</f>
        <v>6346.69623</v>
      </c>
      <c r="H9" s="33" t="n">
        <f aca="false">G9*(1+Assumptions!H19)</f>
        <v>6664.0310415</v>
      </c>
      <c r="I9" s="33" t="n">
        <f aca="false">H9*(1+Assumptions!I19)</f>
        <v>6997.232593575</v>
      </c>
    </row>
    <row r="10" customFormat="false" ht="15" hidden="false" customHeight="false" outlineLevel="0" collapsed="false">
      <c r="A10" s="4" t="s">
        <v>60</v>
      </c>
      <c r="B10" s="22"/>
      <c r="C10" s="9" t="n">
        <f aca="false">'Revenue Build'!C10</f>
        <v>1692</v>
      </c>
      <c r="D10" s="9" t="n">
        <f aca="false">'Revenue Build'!D10</f>
        <v>1174</v>
      </c>
      <c r="E10" s="33" t="n">
        <f aca="false">D10*(1+Assumptions!E20)</f>
        <v>997.9</v>
      </c>
      <c r="F10" s="33" t="n">
        <f aca="false">E10*(1+Assumptions!F20)</f>
        <v>948.005</v>
      </c>
      <c r="G10" s="33" t="n">
        <f aca="false">F10*(1+Assumptions!G20)</f>
        <v>948.005</v>
      </c>
      <c r="H10" s="33" t="n">
        <f aca="false">G10*(1+Assumptions!H20)</f>
        <v>966.9651</v>
      </c>
      <c r="I10" s="33" t="n">
        <f aca="false">H10*(1+Assumptions!I20)</f>
        <v>986.304402</v>
      </c>
    </row>
    <row r="11" customFormat="false" ht="15" hidden="false" customHeight="false" outlineLevel="0" collapsed="false">
      <c r="A11" s="3" t="s">
        <v>95</v>
      </c>
      <c r="B11" s="50"/>
      <c r="C11" s="50"/>
      <c r="D11" s="50" t="n">
        <f aca="false">'Revenue Build'!D12</f>
        <v>46398</v>
      </c>
      <c r="E11" s="36" t="n">
        <f aca="false">SUM(E6:E10)+Assumptions!E36</f>
        <v>42441.5</v>
      </c>
      <c r="F11" s="36" t="n">
        <f aca="false">SUM(F6:F10)+Assumptions!F36</f>
        <v>43237.0646</v>
      </c>
      <c r="G11" s="36" t="n">
        <f aca="false">SUM(G6:G10)+Assumptions!G36</f>
        <v>45140.246492</v>
      </c>
      <c r="H11" s="36" t="n">
        <f aca="false">SUM(H6:H10)+Assumptions!H36</f>
        <v>47196.84009108</v>
      </c>
      <c r="I11" s="36" t="n">
        <f aca="false">SUM(I6:I10)+Assumptions!I36</f>
        <v>49129.9747031382</v>
      </c>
      <c r="K11" s="51" t="s">
        <v>178</v>
      </c>
    </row>
    <row r="12" customFormat="false" ht="15" hidden="false" customHeight="false" outlineLevel="0" collapsed="false">
      <c r="A12" s="3" t="s">
        <v>44</v>
      </c>
      <c r="B12" s="22"/>
      <c r="C12" s="22"/>
      <c r="D12" s="22" t="n">
        <f aca="false">'Income Statement'!D10</f>
        <v>3797</v>
      </c>
      <c r="E12" s="49" t="n">
        <f aca="false">E11*(Assumptions!E39-Assumptions!E43-Assumptions!E44)</f>
        <v>1994.7505</v>
      </c>
      <c r="F12" s="49" t="n">
        <f aca="false">F11*(Assumptions!F39-Assumptions!F43-Assumptions!F44)</f>
        <v>2940.1203928</v>
      </c>
      <c r="G12" s="49" t="n">
        <f aca="false">G11*(Assumptions!G39-Assumptions!G43-Assumptions!G44)</f>
        <v>3882.061198312</v>
      </c>
      <c r="H12" s="49" t="n">
        <f aca="false">H11*(Assumptions!H39-Assumptions!H43-Assumptions!H44)</f>
        <v>4719.684009108</v>
      </c>
      <c r="I12" s="49" t="n">
        <f aca="false">I11*(Assumptions!I39-Assumptions!I43-Assumptions!I44)</f>
        <v>5453.42719204834</v>
      </c>
    </row>
    <row r="13" customFormat="false" ht="15" hidden="false" customHeight="false" outlineLevel="0" collapsed="false">
      <c r="A13" s="4" t="s">
        <v>45</v>
      </c>
      <c r="B13" s="19"/>
      <c r="C13" s="19"/>
      <c r="D13" s="19" t="n">
        <f aca="false">D12/D11</f>
        <v>0.0818354239406871</v>
      </c>
      <c r="E13" s="37" t="n">
        <f aca="false">E12/E11</f>
        <v>0.047</v>
      </c>
      <c r="F13" s="37" t="n">
        <f aca="false">F12/F11</f>
        <v>0.068</v>
      </c>
      <c r="G13" s="37" t="n">
        <f aca="false">G12/G11</f>
        <v>0.086</v>
      </c>
      <c r="H13" s="37" t="n">
        <f aca="false">H12/H11</f>
        <v>0.1</v>
      </c>
      <c r="I13" s="37" t="n">
        <f aca="false">I12/I11</f>
        <v>0.111</v>
      </c>
    </row>
    <row r="15" customFormat="false" ht="15" hidden="false" customHeight="false" outlineLevel="0" collapsed="false">
      <c r="A15" s="17" t="s">
        <v>179</v>
      </c>
      <c r="B15" s="18"/>
      <c r="C15" s="18"/>
      <c r="D15" s="18"/>
      <c r="E15" s="18"/>
      <c r="F15" s="18"/>
      <c r="G15" s="18"/>
      <c r="H15" s="18"/>
      <c r="I15" s="18"/>
    </row>
    <row r="16" customFormat="false" ht="15" hidden="false" customHeight="false" outlineLevel="0" collapsed="false">
      <c r="A16" s="4" t="s">
        <v>56</v>
      </c>
      <c r="B16" s="22"/>
      <c r="C16" s="9" t="n">
        <f aca="false">'Revenue Build'!C6</f>
        <v>19572</v>
      </c>
      <c r="D16" s="9" t="n">
        <f aca="false">'Revenue Build'!D6</f>
        <v>20511</v>
      </c>
      <c r="E16" s="33" t="n">
        <f aca="false">D16*(1+Assumptions!E23)</f>
        <v>19895.67</v>
      </c>
      <c r="F16" s="33" t="n">
        <f aca="false">E16*(1+Assumptions!F23)</f>
        <v>20890.4535</v>
      </c>
      <c r="G16" s="33" t="n">
        <f aca="false">F16*(1+Assumptions!G23)</f>
        <v>22352.785245</v>
      </c>
      <c r="H16" s="33" t="n">
        <f aca="false">G16*(1+Assumptions!H23)</f>
        <v>23693.9523597</v>
      </c>
      <c r="I16" s="33" t="n">
        <f aca="false">H16*(1+Assumptions!I23)</f>
        <v>24878.649977685</v>
      </c>
    </row>
    <row r="17" customFormat="false" ht="15" hidden="false" customHeight="false" outlineLevel="0" collapsed="false">
      <c r="A17" s="4" t="s">
        <v>57</v>
      </c>
      <c r="B17" s="22"/>
      <c r="C17" s="9" t="n">
        <f aca="false">'Revenue Build'!C7</f>
        <v>12257</v>
      </c>
      <c r="D17" s="9" t="n">
        <f aca="false">'Revenue Build'!D7</f>
        <v>12572</v>
      </c>
      <c r="E17" s="33" t="n">
        <f aca="false">D17*(1+Assumptions!E24)</f>
        <v>11943.4</v>
      </c>
      <c r="F17" s="33" t="n">
        <f aca="false">E17*(1+Assumptions!F24)</f>
        <v>12421.136</v>
      </c>
      <c r="G17" s="33" t="n">
        <f aca="false">F17*(1+Assumptions!G24)</f>
        <v>13166.40416</v>
      </c>
      <c r="H17" s="33" t="n">
        <f aca="false">G17*(1+Assumptions!H24)</f>
        <v>13824.724368</v>
      </c>
      <c r="I17" s="33" t="n">
        <f aca="false">H17*(1+Assumptions!I24)</f>
        <v>14515.9605864</v>
      </c>
    </row>
    <row r="18" customFormat="false" ht="15" hidden="false" customHeight="false" outlineLevel="0" collapsed="false">
      <c r="A18" s="4" t="s">
        <v>58</v>
      </c>
      <c r="B18" s="22"/>
      <c r="C18" s="9" t="n">
        <f aca="false">'Revenue Build'!C8</f>
        <v>6586</v>
      </c>
      <c r="D18" s="9" t="n">
        <f aca="false">'Revenue Build'!D8</f>
        <v>5847</v>
      </c>
      <c r="E18" s="33" t="n">
        <f aca="false">D18*(1+Assumptions!E25)</f>
        <v>4969.95</v>
      </c>
      <c r="F18" s="33" t="n">
        <f aca="false">E18*(1+Assumptions!F25)</f>
        <v>5119.0485</v>
      </c>
      <c r="G18" s="33" t="n">
        <f aca="false">F18*(1+Assumptions!G25)</f>
        <v>5426.19141</v>
      </c>
      <c r="H18" s="33" t="n">
        <f aca="false">G18*(1+Assumptions!H25)</f>
        <v>5751.7628946</v>
      </c>
      <c r="I18" s="33" t="n">
        <f aca="false">H18*(1+Assumptions!I25)</f>
        <v>6039.35103933</v>
      </c>
    </row>
    <row r="19" customFormat="false" ht="15" hidden="false" customHeight="false" outlineLevel="0" collapsed="false">
      <c r="A19" s="4" t="s">
        <v>59</v>
      </c>
      <c r="B19" s="22"/>
      <c r="C19" s="9" t="n">
        <f aca="false">'Revenue Build'!C9</f>
        <v>6251</v>
      </c>
      <c r="D19" s="9" t="n">
        <f aca="false">'Revenue Build'!D9</f>
        <v>6243</v>
      </c>
      <c r="E19" s="33" t="n">
        <f aca="false">D19*(1+Assumptions!E26)</f>
        <v>6055.71</v>
      </c>
      <c r="F19" s="33" t="n">
        <f aca="false">E19*(1+Assumptions!F26)</f>
        <v>6358.4955</v>
      </c>
      <c r="G19" s="33" t="n">
        <f aca="false">F19*(1+Assumptions!G26)</f>
        <v>6803.590185</v>
      </c>
      <c r="H19" s="33" t="n">
        <f aca="false">G19*(1+Assumptions!H26)</f>
        <v>7279.84149795</v>
      </c>
      <c r="I19" s="33" t="n">
        <f aca="false">H19*(1+Assumptions!I26)</f>
        <v>7716.631987827</v>
      </c>
    </row>
    <row r="20" customFormat="false" ht="15" hidden="false" customHeight="false" outlineLevel="0" collapsed="false">
      <c r="A20" s="4" t="s">
        <v>60</v>
      </c>
      <c r="B20" s="22"/>
      <c r="C20" s="9" t="n">
        <f aca="false">'Revenue Build'!C10</f>
        <v>1692</v>
      </c>
      <c r="D20" s="9" t="n">
        <f aca="false">'Revenue Build'!D10</f>
        <v>1174</v>
      </c>
      <c r="E20" s="33" t="n">
        <f aca="false">D20*(1+Assumptions!E27)</f>
        <v>1056.6</v>
      </c>
      <c r="F20" s="33" t="n">
        <f aca="false">E20*(1+Assumptions!F27)</f>
        <v>1056.6</v>
      </c>
      <c r="G20" s="33" t="n">
        <f aca="false">F20*(1+Assumptions!G27)</f>
        <v>1088.298</v>
      </c>
      <c r="H20" s="33" t="n">
        <f aca="false">G20*(1+Assumptions!H27)</f>
        <v>1131.82992</v>
      </c>
      <c r="I20" s="33" t="n">
        <f aca="false">H20*(1+Assumptions!I27)</f>
        <v>1165.7848176</v>
      </c>
    </row>
    <row r="21" customFormat="false" ht="15" hidden="false" customHeight="false" outlineLevel="0" collapsed="false">
      <c r="A21" s="3" t="s">
        <v>95</v>
      </c>
      <c r="B21" s="50"/>
      <c r="C21" s="50"/>
      <c r="D21" s="50" t="n">
        <f aca="false">'Revenue Build'!D12</f>
        <v>46398</v>
      </c>
      <c r="E21" s="36" t="n">
        <f aca="false">SUM(E16:E20)+Assumptions!E36</f>
        <v>43972.33</v>
      </c>
      <c r="F21" s="36" t="n">
        <f aca="false">SUM(F16:F20)+Assumptions!F36</f>
        <v>45896.7335</v>
      </c>
      <c r="G21" s="36" t="n">
        <f aca="false">SUM(G16:G20)+Assumptions!G36</f>
        <v>48888.269</v>
      </c>
      <c r="H21" s="36" t="n">
        <f aca="false">SUM(H16:H20)+Assumptions!H36</f>
        <v>51733.11104025</v>
      </c>
      <c r="I21" s="36" t="n">
        <f aca="false">SUM(I16:I20)+Assumptions!I36</f>
        <v>54367.378408842</v>
      </c>
      <c r="K21" s="51" t="s">
        <v>179</v>
      </c>
    </row>
    <row r="22" customFormat="false" ht="15" hidden="false" customHeight="false" outlineLevel="0" collapsed="false">
      <c r="A22" s="3" t="s">
        <v>44</v>
      </c>
      <c r="B22" s="22"/>
      <c r="C22" s="22"/>
      <c r="D22" s="22" t="n">
        <f aca="false">'Income Statement'!D10</f>
        <v>3797</v>
      </c>
      <c r="E22" s="49" t="n">
        <f aca="false">E21*(Assumptions!E40-Assumptions!E43-Assumptions!E44)</f>
        <v>2286.56116</v>
      </c>
      <c r="F22" s="49" t="n">
        <f aca="false">F21*(Assumptions!F40-Assumptions!F43-Assumptions!F44)</f>
        <v>3579.945213</v>
      </c>
      <c r="G22" s="49" t="n">
        <f aca="false">G21*(Assumptions!G40-Assumptions!G43-Assumptions!G44)</f>
        <v>4937.715169</v>
      </c>
      <c r="H22" s="49" t="n">
        <f aca="false">H21*(Assumptions!H40-Assumptions!H43-Assumptions!H44)</f>
        <v>5949.30776962875</v>
      </c>
      <c r="I22" s="49" t="n">
        <f aca="false">I21*(Assumptions!I40-Assumptions!I43-Assumptions!I44)</f>
        <v>6850.28967951409</v>
      </c>
    </row>
    <row r="23" customFormat="false" ht="15" hidden="false" customHeight="false" outlineLevel="0" collapsed="false">
      <c r="A23" s="4" t="s">
        <v>45</v>
      </c>
      <c r="B23" s="19"/>
      <c r="C23" s="19"/>
      <c r="D23" s="19" t="n">
        <f aca="false">D22/D21</f>
        <v>0.0818354239406871</v>
      </c>
      <c r="E23" s="37" t="n">
        <f aca="false">E22/E21</f>
        <v>0.052</v>
      </c>
      <c r="F23" s="37" t="n">
        <f aca="false">F22/F21</f>
        <v>0.078</v>
      </c>
      <c r="G23" s="37" t="n">
        <f aca="false">G22/G21</f>
        <v>0.101</v>
      </c>
      <c r="H23" s="37" t="n">
        <f aca="false">H22/H21</f>
        <v>0.115</v>
      </c>
      <c r="I23" s="37" t="n">
        <f aca="false">I22/I21</f>
        <v>0.126</v>
      </c>
    </row>
    <row r="25" customFormat="false" ht="15" hidden="false" customHeight="false" outlineLevel="0" collapsed="false">
      <c r="A25" s="17" t="s">
        <v>180</v>
      </c>
      <c r="B25" s="18"/>
      <c r="C25" s="18"/>
      <c r="D25" s="18"/>
      <c r="E25" s="18"/>
      <c r="F25" s="18"/>
      <c r="G25" s="18"/>
      <c r="H25" s="18"/>
      <c r="I25" s="18"/>
    </row>
    <row r="26" customFormat="false" ht="15" hidden="false" customHeight="false" outlineLevel="0" collapsed="false">
      <c r="A26" s="4" t="s">
        <v>56</v>
      </c>
      <c r="B26" s="22"/>
      <c r="C26" s="9" t="n">
        <f aca="false">'Revenue Build'!C6</f>
        <v>19572</v>
      </c>
      <c r="D26" s="9" t="n">
        <f aca="false">'Revenue Build'!D6</f>
        <v>20511</v>
      </c>
      <c r="E26" s="33" t="n">
        <f aca="false">D26*(1+Assumptions!E30)</f>
        <v>18665.01</v>
      </c>
      <c r="F26" s="33" t="n">
        <f aca="false">E26*(1+Assumptions!F30)</f>
        <v>18665.01</v>
      </c>
      <c r="G26" s="33" t="n">
        <f aca="false">F26*(1+Assumptions!G30)</f>
        <v>19038.3102</v>
      </c>
      <c r="H26" s="33" t="n">
        <f aca="false">G26*(1+Assumptions!H30)</f>
        <v>19609.459506</v>
      </c>
      <c r="I26" s="33" t="n">
        <f aca="false">H26*(1+Assumptions!I30)</f>
        <v>20197.74329118</v>
      </c>
    </row>
    <row r="27" customFormat="false" ht="15" hidden="false" customHeight="false" outlineLevel="0" collapsed="false">
      <c r="A27" s="4" t="s">
        <v>57</v>
      </c>
      <c r="B27" s="22"/>
      <c r="C27" s="9" t="n">
        <f aca="false">'Revenue Build'!C7</f>
        <v>12257</v>
      </c>
      <c r="D27" s="9" t="n">
        <f aca="false">'Revenue Build'!D7</f>
        <v>12572</v>
      </c>
      <c r="E27" s="33" t="n">
        <f aca="false">D27*(1+Assumptions!E31)</f>
        <v>11189.08</v>
      </c>
      <c r="F27" s="33" t="n">
        <f aca="false">E27*(1+Assumptions!F31)</f>
        <v>10965.2984</v>
      </c>
      <c r="G27" s="33" t="n">
        <f aca="false">F27*(1+Assumptions!G31)</f>
        <v>11074.951384</v>
      </c>
      <c r="H27" s="33" t="n">
        <f aca="false">G27*(1+Assumptions!H31)</f>
        <v>11296.45041168</v>
      </c>
      <c r="I27" s="33" t="n">
        <f aca="false">H27*(1+Assumptions!I31)</f>
        <v>11522.3794199136</v>
      </c>
    </row>
    <row r="28" customFormat="false" ht="15" hidden="false" customHeight="false" outlineLevel="0" collapsed="false">
      <c r="A28" s="4" t="s">
        <v>58</v>
      </c>
      <c r="B28" s="22"/>
      <c r="C28" s="9" t="n">
        <f aca="false">'Revenue Build'!C8</f>
        <v>6586</v>
      </c>
      <c r="D28" s="9" t="n">
        <f aca="false">'Revenue Build'!D8</f>
        <v>5847</v>
      </c>
      <c r="E28" s="33" t="n">
        <f aca="false">D28*(1+Assumptions!E32)</f>
        <v>4326.78</v>
      </c>
      <c r="F28" s="33" t="n">
        <f aca="false">E28*(1+Assumptions!F32)</f>
        <v>3894.102</v>
      </c>
      <c r="G28" s="33" t="n">
        <f aca="false">F28*(1+Assumptions!G32)</f>
        <v>3777.27894</v>
      </c>
      <c r="H28" s="33" t="n">
        <f aca="false">G28*(1+Assumptions!H32)</f>
        <v>3777.27894</v>
      </c>
      <c r="I28" s="33" t="n">
        <f aca="false">H28*(1+Assumptions!I32)</f>
        <v>3815.0517294</v>
      </c>
    </row>
    <row r="29" customFormat="false" ht="15" hidden="false" customHeight="false" outlineLevel="0" collapsed="false">
      <c r="A29" s="4" t="s">
        <v>59</v>
      </c>
      <c r="B29" s="22"/>
      <c r="C29" s="9" t="n">
        <f aca="false">'Revenue Build'!C9</f>
        <v>6251</v>
      </c>
      <c r="D29" s="9" t="n">
        <f aca="false">'Revenue Build'!D9</f>
        <v>6243</v>
      </c>
      <c r="E29" s="33" t="n">
        <f aca="false">D29*(1+Assumptions!E33)</f>
        <v>5681.13</v>
      </c>
      <c r="F29" s="33" t="n">
        <f aca="false">E29*(1+Assumptions!F33)</f>
        <v>5681.13</v>
      </c>
      <c r="G29" s="33" t="n">
        <f aca="false">F29*(1+Assumptions!G33)</f>
        <v>5794.7526</v>
      </c>
      <c r="H29" s="33" t="n">
        <f aca="false">G29*(1+Assumptions!H33)</f>
        <v>5968.595178</v>
      </c>
      <c r="I29" s="33" t="n">
        <f aca="false">H29*(1+Assumptions!I33)</f>
        <v>6147.65303334</v>
      </c>
    </row>
    <row r="30" customFormat="false" ht="15" hidden="false" customHeight="false" outlineLevel="0" collapsed="false">
      <c r="A30" s="4" t="s">
        <v>60</v>
      </c>
      <c r="B30" s="22"/>
      <c r="C30" s="9" t="n">
        <f aca="false">'Revenue Build'!C10</f>
        <v>1692</v>
      </c>
      <c r="D30" s="9" t="n">
        <f aca="false">'Revenue Build'!D10</f>
        <v>1174</v>
      </c>
      <c r="E30" s="33" t="n">
        <f aca="false">D30*(1+Assumptions!E34)</f>
        <v>939.2</v>
      </c>
      <c r="F30" s="33" t="n">
        <f aca="false">E30*(1+Assumptions!F34)</f>
        <v>845.28</v>
      </c>
      <c r="G30" s="33" t="n">
        <f aca="false">F30*(1+Assumptions!G34)</f>
        <v>819.9216</v>
      </c>
      <c r="H30" s="33" t="n">
        <f aca="false">G30*(1+Assumptions!H34)</f>
        <v>819.9216</v>
      </c>
      <c r="I30" s="33" t="n">
        <f aca="false">H30*(1+Assumptions!I34)</f>
        <v>819.9216</v>
      </c>
    </row>
    <row r="31" customFormat="false" ht="15" hidden="false" customHeight="false" outlineLevel="0" collapsed="false">
      <c r="A31" s="3" t="s">
        <v>95</v>
      </c>
      <c r="B31" s="50"/>
      <c r="C31" s="50"/>
      <c r="D31" s="50" t="n">
        <f aca="false">'Revenue Build'!D12</f>
        <v>46398</v>
      </c>
      <c r="E31" s="36" t="n">
        <f aca="false">SUM(E26:E30)+Assumptions!E36</f>
        <v>40852.2</v>
      </c>
      <c r="F31" s="36" t="n">
        <f aca="false">SUM(F26:F30)+Assumptions!F36</f>
        <v>40101.8204</v>
      </c>
      <c r="G31" s="36" t="n">
        <f aca="false">SUM(G26:G30)+Assumptions!G36</f>
        <v>40556.214724</v>
      </c>
      <c r="H31" s="36" t="n">
        <f aca="false">SUM(H26:H30)+Assumptions!H36</f>
        <v>41522.70563568</v>
      </c>
      <c r="I31" s="36" t="n">
        <f aca="false">SUM(I26:I30)+Assumptions!I36</f>
        <v>42553.7490738336</v>
      </c>
      <c r="K31" s="51" t="s">
        <v>180</v>
      </c>
    </row>
    <row r="32" customFormat="false" ht="15" hidden="false" customHeight="false" outlineLevel="0" collapsed="false">
      <c r="A32" s="3" t="s">
        <v>44</v>
      </c>
      <c r="B32" s="22"/>
      <c r="C32" s="22"/>
      <c r="D32" s="22" t="n">
        <f aca="false">'Income Statement'!D10</f>
        <v>3797</v>
      </c>
      <c r="E32" s="49" t="n">
        <f aca="false">E31*(Assumptions!E41-Assumptions!E43-Assumptions!E44)</f>
        <v>1715.7924</v>
      </c>
      <c r="F32" s="49" t="n">
        <f aca="false">F31*(Assumptions!F41-Assumptions!F43-Assumptions!F44)</f>
        <v>2325.9055832</v>
      </c>
      <c r="G32" s="49" t="n">
        <f aca="false">G31*(Assumptions!G41-Assumptions!G43-Assumptions!G44)</f>
        <v>3082.272319024</v>
      </c>
      <c r="H32" s="49" t="n">
        <f aca="false">H31*(Assumptions!H41-Assumptions!H43-Assumptions!H44)</f>
        <v>3737.0435072112</v>
      </c>
      <c r="I32" s="49" t="n">
        <f aca="false">I31*(Assumptions!I41-Assumptions!I43-Assumptions!I44)</f>
        <v>4085.15991108803</v>
      </c>
    </row>
    <row r="33" customFormat="false" ht="15" hidden="false" customHeight="false" outlineLevel="0" collapsed="false">
      <c r="A33" s="4" t="s">
        <v>45</v>
      </c>
      <c r="B33" s="19"/>
      <c r="C33" s="19"/>
      <c r="D33" s="19" t="n">
        <f aca="false">D32/D31</f>
        <v>0.0818354239406871</v>
      </c>
      <c r="E33" s="37" t="n">
        <f aca="false">E32/E31</f>
        <v>0.042</v>
      </c>
      <c r="F33" s="37" t="n">
        <f aca="false">F32/F31</f>
        <v>0.058</v>
      </c>
      <c r="G33" s="37" t="n">
        <f aca="false">G32/G31</f>
        <v>0.076</v>
      </c>
      <c r="H33" s="37" t="n">
        <f aca="false">H32/H31</f>
        <v>0.09</v>
      </c>
      <c r="I33" s="37" t="n">
        <f aca="false">I32/I31</f>
        <v>0.096</v>
      </c>
    </row>
    <row r="35" customFormat="false" ht="15" hidden="false" customHeight="false" outlineLevel="0" collapsed="false">
      <c r="A35" s="17" t="s">
        <v>181</v>
      </c>
      <c r="B35" s="18"/>
      <c r="C35" s="18"/>
      <c r="D35" s="18"/>
      <c r="E35" s="18"/>
      <c r="F35" s="18"/>
      <c r="G35" s="18"/>
      <c r="H35" s="18"/>
      <c r="I35" s="18"/>
    </row>
    <row r="36" customFormat="false" ht="30" hidden="false" customHeight="true" outlineLevel="0" collapsed="false">
      <c r="A36" s="52" t="s">
        <v>182</v>
      </c>
      <c r="B36" s="53" t="s">
        <v>183</v>
      </c>
      <c r="C36" s="53" t="s">
        <v>184</v>
      </c>
      <c r="D36" s="53" t="s">
        <v>185</v>
      </c>
      <c r="E36" s="53" t="s">
        <v>186</v>
      </c>
      <c r="K36" s="2" t="s">
        <v>187</v>
      </c>
    </row>
    <row r="37" customFormat="false" ht="15" hidden="false" customHeight="false" outlineLevel="0" collapsed="false">
      <c r="A37" s="4" t="s">
        <v>178</v>
      </c>
      <c r="B37" s="54" t="n">
        <f aca="false">I11</f>
        <v>49129.9747031382</v>
      </c>
      <c r="C37" s="55" t="n">
        <f aca="false">(I11/D11)^(1/5)-1</f>
        <v>0.0115083121973893</v>
      </c>
      <c r="D37" s="54" t="n">
        <f aca="false">I12</f>
        <v>5453.42719204834</v>
      </c>
      <c r="E37" s="55" t="n">
        <f aca="false">I13</f>
        <v>0.111</v>
      </c>
    </row>
    <row r="38" customFormat="false" ht="15" hidden="false" customHeight="false" outlineLevel="0" collapsed="false">
      <c r="A38" s="4" t="s">
        <v>179</v>
      </c>
      <c r="B38" s="54" t="n">
        <f aca="false">I21</f>
        <v>54367.378408842</v>
      </c>
      <c r="C38" s="55" t="n">
        <f aca="false">(I21/D21)^(1/5)-1</f>
        <v>0.032209439279584</v>
      </c>
      <c r="D38" s="54" t="n">
        <f aca="false">I22</f>
        <v>6850.28967951409</v>
      </c>
      <c r="E38" s="55" t="n">
        <f aca="false">I23</f>
        <v>0.126</v>
      </c>
    </row>
    <row r="39" customFormat="false" ht="15" hidden="false" customHeight="false" outlineLevel="0" collapsed="false">
      <c r="A39" s="4" t="s">
        <v>180</v>
      </c>
      <c r="B39" s="54" t="n">
        <f aca="false">I31</f>
        <v>42553.7490738336</v>
      </c>
      <c r="C39" s="55" t="n">
        <f aca="false">(I31/D31)^(1/5)-1</f>
        <v>-0.0171489328173601</v>
      </c>
      <c r="D39" s="54" t="n">
        <f aca="false">I32</f>
        <v>4085.15991108803</v>
      </c>
      <c r="E39" s="55" t="n">
        <f aca="false">I33</f>
        <v>0.096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9" min="2" style="0" width="11"/>
  </cols>
  <sheetData>
    <row r="1" customFormat="false" ht="17.35" hidden="false" customHeight="false" outlineLevel="0" collapsed="false">
      <c r="A1" s="6" t="s">
        <v>22</v>
      </c>
    </row>
    <row r="2" customFormat="false" ht="15" hidden="false" customHeight="false" outlineLevel="0" collapsed="false">
      <c r="A2" s="2" t="s">
        <v>188</v>
      </c>
    </row>
    <row r="4" customFormat="false" ht="15" hidden="false" customHeight="false" outlineLevel="0" collapsed="false">
      <c r="A4" s="7" t="s">
        <v>33</v>
      </c>
      <c r="B4" s="8" t="s">
        <v>34</v>
      </c>
      <c r="C4" s="8" t="s">
        <v>35</v>
      </c>
      <c r="D4" s="8" t="s">
        <v>36</v>
      </c>
      <c r="E4" s="8" t="s">
        <v>37</v>
      </c>
      <c r="F4" s="8" t="s">
        <v>38</v>
      </c>
      <c r="G4" s="8" t="s">
        <v>39</v>
      </c>
      <c r="H4" s="8" t="s">
        <v>40</v>
      </c>
      <c r="I4" s="8" t="s">
        <v>41</v>
      </c>
    </row>
    <row r="5" customFormat="false" ht="15" hidden="false" customHeight="false" outlineLevel="0" collapsed="false">
      <c r="A5" s="4" t="s">
        <v>189</v>
      </c>
      <c r="B5" s="47" t="n">
        <f aca="false">'Balance Sheet'!B37</f>
        <v>0</v>
      </c>
      <c r="C5" s="47" t="n">
        <f aca="false">'Balance Sheet'!C37</f>
        <v>0</v>
      </c>
      <c r="D5" s="47" t="n">
        <f aca="false">'Balance Sheet'!D37</f>
        <v>0</v>
      </c>
      <c r="E5" s="10" t="n">
        <f aca="false">'Balance Sheet'!E37</f>
        <v>0</v>
      </c>
      <c r="F5" s="10" t="n">
        <f aca="false">'Balance Sheet'!F37</f>
        <v>0</v>
      </c>
      <c r="G5" s="10" t="n">
        <f aca="false">'Balance Sheet'!G37</f>
        <v>0</v>
      </c>
      <c r="H5" s="10" t="n">
        <f aca="false">'Balance Sheet'!H37</f>
        <v>0</v>
      </c>
      <c r="I5" s="10" t="n">
        <f aca="false">'Balance Sheet'!I37</f>
        <v>0</v>
      </c>
    </row>
    <row r="6" customFormat="false" ht="15" hidden="false" customHeight="false" outlineLevel="0" collapsed="false">
      <c r="A6" s="4" t="s">
        <v>190</v>
      </c>
      <c r="B6" s="47" t="n">
        <f aca="false">ROUND('Cash Flow'!B32-'Balance Sheet'!B6,0)</f>
        <v>0</v>
      </c>
      <c r="C6" s="47" t="n">
        <f aca="false">ROUND('Cash Flow'!C32-'Balance Sheet'!C6,0)</f>
        <v>0</v>
      </c>
      <c r="D6" s="47" t="n">
        <f aca="false">ROUND('Cash Flow'!D32-'Balance Sheet'!D6,0)</f>
        <v>0</v>
      </c>
      <c r="E6" s="10" t="n">
        <f aca="false">ROUND('Cash Flow'!E32-'Balance Sheet'!E6,0)</f>
        <v>0</v>
      </c>
      <c r="F6" s="10" t="n">
        <f aca="false">ROUND('Cash Flow'!F32-'Balance Sheet'!F6,0)</f>
        <v>0</v>
      </c>
      <c r="G6" s="10" t="n">
        <f aca="false">ROUND('Cash Flow'!G32-'Balance Sheet'!G6,0)</f>
        <v>0</v>
      </c>
      <c r="H6" s="10" t="n">
        <f aca="false">ROUND('Cash Flow'!H32-'Balance Sheet'!H6,0)</f>
        <v>0</v>
      </c>
      <c r="I6" s="10" t="n">
        <f aca="false">ROUND('Cash Flow'!I32-'Balance Sheet'!I6,0)</f>
        <v>0</v>
      </c>
    </row>
    <row r="7" customFormat="false" ht="15" hidden="false" customHeight="false" outlineLevel="0" collapsed="false">
      <c r="A7" s="4" t="s">
        <v>191</v>
      </c>
      <c r="B7" s="47" t="n">
        <f aca="false">0</f>
        <v>0</v>
      </c>
      <c r="C7" s="47" t="n">
        <f aca="false">ROUND('Revenue Build'!C12-'Income Statement'!C5,0)</f>
        <v>0</v>
      </c>
      <c r="D7" s="47" t="n">
        <f aca="false">ROUND('Revenue Build'!D12-'Income Statement'!D5,0)</f>
        <v>0</v>
      </c>
      <c r="E7" s="10" t="n">
        <f aca="false">ROUND('Revenue Build'!E12-'Income Statement'!E5,0)</f>
        <v>0</v>
      </c>
      <c r="F7" s="10" t="n">
        <f aca="false">ROUND('Revenue Build'!F12-'Income Statement'!F5,0)</f>
        <v>0</v>
      </c>
      <c r="G7" s="10" t="n">
        <f aca="false">ROUND('Revenue Build'!G12-'Income Statement'!G5,0)</f>
        <v>0</v>
      </c>
      <c r="H7" s="10" t="n">
        <f aca="false">ROUND('Revenue Build'!H12-'Income Statement'!H5,0)</f>
        <v>0</v>
      </c>
      <c r="I7" s="10" t="n">
        <f aca="false">ROUND('Revenue Build'!I12-'Income Statement'!I5,0)</f>
        <v>0</v>
      </c>
    </row>
    <row r="8" customFormat="false" ht="15" hidden="false" customHeight="false" outlineLevel="0" collapsed="false">
      <c r="A8" s="4" t="s">
        <v>192</v>
      </c>
      <c r="B8" s="47" t="n">
        <f aca="false">ROUND('Income Statement'!B15-5700,0)</f>
        <v>0</v>
      </c>
      <c r="C8" s="47" t="n">
        <f aca="false">ROUND('Income Statement'!C15-3219,0)</f>
        <v>0</v>
      </c>
      <c r="D8" s="47" t="n">
        <f aca="false">ROUND('Income Statement'!D15-3108,0)</f>
        <v>0</v>
      </c>
      <c r="E8" s="33" t="n">
        <v>0</v>
      </c>
      <c r="F8" s="33" t="n">
        <v>0</v>
      </c>
      <c r="G8" s="33" t="n">
        <v>0</v>
      </c>
      <c r="H8" s="33" t="n">
        <v>0</v>
      </c>
      <c r="I8" s="33" t="n">
        <v>0</v>
      </c>
    </row>
    <row r="9" customFormat="false" ht="15" hidden="false" customHeight="false" outlineLevel="0" collapsed="false">
      <c r="A9" s="4" t="s">
        <v>193</v>
      </c>
      <c r="B9" s="47" t="n">
        <f aca="false">ROUND('Balance Sheet'!B16-38110,0)</f>
        <v>0</v>
      </c>
      <c r="C9" s="47" t="n">
        <f aca="false">ROUND('Balance Sheet'!C16-36579,0)</f>
        <v>0</v>
      </c>
      <c r="D9" s="47" t="n">
        <f aca="false">ROUND('Balance Sheet'!D16-38410,0)</f>
        <v>0</v>
      </c>
      <c r="E9" s="33" t="n">
        <v>0</v>
      </c>
      <c r="F9" s="33" t="n">
        <v>0</v>
      </c>
      <c r="G9" s="33" t="n">
        <v>0</v>
      </c>
      <c r="H9" s="33" t="n">
        <v>0</v>
      </c>
      <c r="I9" s="33" t="n">
        <v>0</v>
      </c>
    </row>
    <row r="10" customFormat="false" ht="15" hidden="false" customHeight="false" outlineLevel="0" collapsed="false">
      <c r="A10" s="4" t="s">
        <v>194</v>
      </c>
      <c r="B10" s="47" t="n">
        <v>0</v>
      </c>
      <c r="C10" s="47" t="n">
        <v>0</v>
      </c>
      <c r="D10" s="47" t="n">
        <v>0</v>
      </c>
      <c r="E10" s="10" t="n">
        <f aca="false">IF(Assumptions!$B$6=1,ROUND(Scenarios!E11-'Income Statement'!E5,0),0)</f>
        <v>0</v>
      </c>
      <c r="F10" s="10" t="n">
        <f aca="false">IF(Assumptions!$B$6=1,ROUND(Scenarios!F11-'Income Statement'!F5,0),0)</f>
        <v>0</v>
      </c>
      <c r="G10" s="10" t="n">
        <f aca="false">IF(Assumptions!$B$6=1,ROUND(Scenarios!G11-'Income Statement'!G5,0),0)</f>
        <v>0</v>
      </c>
      <c r="H10" s="10" t="n">
        <f aca="false">IF(Assumptions!$B$6=1,ROUND(Scenarios!H11-'Income Statement'!H5,0),0)</f>
        <v>0</v>
      </c>
      <c r="I10" s="10" t="n">
        <f aca="false">IF(Assumptions!$B$6=1,ROUND(Scenarios!I11-'Income Statement'!I5,0),0)</f>
        <v>0</v>
      </c>
    </row>
    <row r="11" customFormat="false" ht="15" hidden="false" customHeight="false" outlineLevel="0" collapsed="false">
      <c r="A11" s="4" t="s">
        <v>195</v>
      </c>
      <c r="B11" s="56" t="str">
        <f aca="false">"OK"</f>
        <v>OK</v>
      </c>
      <c r="C11" s="56" t="str">
        <f aca="false">"OK"</f>
        <v>OK</v>
      </c>
      <c r="D11" s="56" t="str">
        <f aca="false">"OK"</f>
        <v>OK</v>
      </c>
      <c r="E11" s="15" t="str">
        <f aca="false">IF('Balance Sheet'!E6&gt;0,"OK","LOW CASH")</f>
        <v>OK</v>
      </c>
      <c r="F11" s="15" t="str">
        <f aca="false">IF('Balance Sheet'!F6&gt;0,"OK","LOW CASH")</f>
        <v>OK</v>
      </c>
      <c r="G11" s="15" t="str">
        <f aca="false">IF('Balance Sheet'!G6&gt;0,"OK","LOW CASH")</f>
        <v>OK</v>
      </c>
      <c r="H11" s="15" t="str">
        <f aca="false">IF('Balance Sheet'!H6&gt;0,"OK","LOW CASH")</f>
        <v>OK</v>
      </c>
      <c r="I11" s="15" t="str">
        <f aca="false">IF('Balance Sheet'!I6&gt;0,"OK","LOW CASH")</f>
        <v>OK</v>
      </c>
    </row>
    <row r="13" customFormat="false" ht="15" hidden="false" customHeight="false" outlineLevel="0" collapsed="false">
      <c r="A13" s="3" t="s">
        <v>196</v>
      </c>
      <c r="B13" s="5" t="str">
        <f aca="false">IF(AND(SUMPRODUCT(ABS(B5:I10))=0,COUNTIF(B11:I11,"OK")=8),"OK","ERROR")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2026-10-20T05:46:52Z</dcterms:created>
  <dc:creator>openpyxl</dc:creator>
  <dc:description/>
  <dc:language>en-US</dc:language>
  <cp:lastModifiedBy/>
  <dcterms:modified xsi:type="dcterms:W3CDTF">2026-10-20T05:46:55Z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