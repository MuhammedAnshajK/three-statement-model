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Income Statement" sheetId="3" state="visible" r:id="rId5"/>
    <sheet name="Balance Sheet" sheetId="4" state="visible" r:id="rId6"/>
    <sheet name="Cash Flow" sheetId="5" state="visible" r:id="rId7"/>
    <sheet name="Check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Type 1, 2 or 3 to switch the revenue scenario.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7" authorId="0">
      <text>
        <r>
          <rPr>
            <sz val="10"/>
            <rFont val="Arial"/>
            <family val="2"/>
          </rPr>
          <t xml:space="preserve">Historical tax rate of 25% (illustrative).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1" authorId="0">
      <text>
        <r>
          <rPr>
            <sz val="10"/>
            <rFont val="Arial"/>
            <family val="2"/>
          </rPr>
          <t xml:space="preserve">2024A retained earnings is the balancing figure for the opening balance sheet (illustrative data).</t>
        </r>
      </text>
    </comment>
    <comment ref="D6" authorId="0">
      <text>
        <r>
          <rPr>
            <sz val="10"/>
            <rFont val="Arial"/>
            <family val="2"/>
          </rPr>
          <t xml:space="preserve">2025A cash is consistent with 2025 net income less a 30% dividend.</t>
        </r>
      </text>
    </comment>
  </commentList>
</comments>
</file>

<file path=xl/sharedStrings.xml><?xml version="1.0" encoding="utf-8"?>
<sst xmlns="http://schemas.openxmlformats.org/spreadsheetml/2006/main" count="135" uniqueCount="103">
  <si>
    <t xml:space="preserve">Three-Statement Financial Model</t>
  </si>
  <si>
    <t xml:space="preserve">Illustrative Manufacturing Co. | 2024A-2025A historical, 2026E-2030E forecast | $ thousands</t>
  </si>
  <si>
    <t xml:space="preserve">Purpose</t>
  </si>
  <si>
    <t xml:space="preserve">Forecasts the income statement, balance sheet and cash flow statement, fully linked, so a change to any assumption flows through all three.</t>
  </si>
  <si>
    <t xml:space="preserve">Data</t>
  </si>
  <si>
    <t xml:space="preserve">Illustrative figures for a fictional company. Not real company data.</t>
  </si>
  <si>
    <t xml:space="preserve">How to use</t>
  </si>
  <si>
    <t xml:space="preserve">Change only the blue cells and yellow cells on the Assumptions sheet. Every other number is a formula.</t>
  </si>
  <si>
    <t xml:space="preserve">Scenario</t>
  </si>
  <si>
    <t xml:space="preserve">Assumptions!C5 switches the revenue case: 1 = Base, 2 = Upside, 3 = Downside.</t>
  </si>
  <si>
    <t xml:space="preserve">Sheets</t>
  </si>
  <si>
    <t xml:space="preserve">Assumptions &gt; Income Statement &gt; Balance Sheet &gt; Cash Flow &gt; Checks</t>
  </si>
  <si>
    <t xml:space="preserve">Balancing</t>
  </si>
  <si>
    <t xml:space="preserve">Cash on the balance sheet comes from the cash flow statement. The Checks sheet confirms assets = liabilities + equity every year.</t>
  </si>
  <si>
    <t xml:space="preserve">Colour key</t>
  </si>
  <si>
    <t xml:space="preserve">Blue = hardcoded input | Black = formula | Green = link to another sheet | Yellow fill = key assumption to change</t>
  </si>
  <si>
    <t xml:space="preserve">Author</t>
  </si>
  <si>
    <t xml:space="preserve">Muhammed Anshaj K</t>
  </si>
  <si>
    <t xml:space="preserve">Assumptions</t>
  </si>
  <si>
    <t xml:space="preserve">Illustrative Manufacturing Co. ($ thousands)</t>
  </si>
  <si>
    <t xml:space="preserve">2024A</t>
  </si>
  <si>
    <t xml:space="preserve">2025A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</si>
  <si>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</si>
  <si>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</si>
  <si>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</si>
  <si>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</si>
  <si>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</si>
  <si>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Scenario selector</t>
  </si>
  <si>
    <t xml:space="preserve">Type 1 = Base, 2 = Upside, 3 = Downside</t>
  </si>
  <si>
    <t xml:space="preserve">Revenue growth</t>
  </si>
  <si>
    <t xml:space="preserve">  Base case</t>
  </si>
  <si>
    <t xml:space="preserve">  Upside case</t>
  </si>
  <si>
    <t xml:space="preserve">  Downside case</t>
  </si>
  <si>
    <t xml:space="preserve">  Revenue growth used</t>
  </si>
  <si>
    <t xml:space="preserve">Operating assumptions</t>
  </si>
  <si>
    <t xml:space="preserve">  COGS (% of revenue)</t>
  </si>
  <si>
    <t xml:space="preserve">  SG&amp;A (% of revenue)</t>
  </si>
  <si>
    <t xml:space="preserve">  D&amp;A (% of revenue)</t>
  </si>
  <si>
    <t xml:space="preserve">  Capex (% of revenue)</t>
  </si>
  <si>
    <t xml:space="preserve">  Tax rate</t>
  </si>
  <si>
    <t xml:space="preserve">Working capital</t>
  </si>
  <si>
    <t xml:space="preserve">  Receivable days (DSO)</t>
  </si>
  <si>
    <t xml:space="preserve">  Inventory days (DIO, on COGS)</t>
  </si>
  <si>
    <t xml:space="preserve">  Payable days (DPO, on COGS)</t>
  </si>
  <si>
    <t xml:space="preserve">Financing</t>
  </si>
  <si>
    <t xml:space="preserve">  Interest rate (on opening debt)</t>
  </si>
  <si>
    <t xml:space="preserve">  Debt repayment</t>
  </si>
  <si>
    <t xml:space="preserve">  Dividend payout (% of net income)</t>
  </si>
  <si>
    <t xml:space="preserve">Notes: interest is charged on opening debt to avoid a circular reference. All inputs are illustrative.</t>
  </si>
  <si>
    <t xml:space="preserve">Income Statement</t>
  </si>
  <si>
    <t xml:space="preserve">Revenue</t>
  </si>
  <si>
    <t xml:space="preserve">  Growth</t>
  </si>
  <si>
    <t xml:space="preserve">Cost of goods sold</t>
  </si>
  <si>
    <t xml:space="preserve">Gross profit</t>
  </si>
  <si>
    <t xml:space="preserve">  Gross margin</t>
  </si>
  <si>
    <t xml:space="preserve">SG&amp;A</t>
  </si>
  <si>
    <t xml:space="preserve">EBITDA</t>
  </si>
  <si>
    <t xml:space="preserve">  EBITDA margin</t>
  </si>
  <si>
    <t xml:space="preserve">Depreciation &amp; amortisation</t>
  </si>
  <si>
    <t xml:space="preserve">EBIT</t>
  </si>
  <si>
    <t xml:space="preserve">Interest expense</t>
  </si>
  <si>
    <t xml:space="preserve">Profit before tax</t>
  </si>
  <si>
    <t xml:space="preserve">Income tax</t>
  </si>
  <si>
    <t xml:space="preserve">Net income</t>
  </si>
  <si>
    <t xml:space="preserve">  Net margin</t>
  </si>
  <si>
    <t xml:space="preserve">Balance Sheet</t>
  </si>
  <si>
    <t xml:space="preserve">Assets</t>
  </si>
  <si>
    <t xml:space="preserve">  Cash</t>
  </si>
  <si>
    <t xml:space="preserve">  Accounts receivable</t>
  </si>
  <si>
    <t xml:space="preserve">  Inventory</t>
  </si>
  <si>
    <t xml:space="preserve">Total current assets</t>
  </si>
  <si>
    <t xml:space="preserve">  Property, plant &amp; equipment (net)</t>
  </si>
  <si>
    <t xml:space="preserve">Total assets</t>
  </si>
  <si>
    <t xml:space="preserve">Liabilities &amp; equity</t>
  </si>
  <si>
    <t xml:space="preserve">  Accounts payable</t>
  </si>
  <si>
    <t xml:space="preserve">Total current liabilities</t>
  </si>
  <si>
    <t xml:space="preserve">  Long-term debt</t>
  </si>
  <si>
    <t xml:space="preserve">Total liabilities</t>
  </si>
  <si>
    <t xml:space="preserve">  Common stock</t>
  </si>
  <si>
    <t xml:space="preserve">  Retained earnings</t>
  </si>
  <si>
    <t xml:space="preserve">Total equity</t>
  </si>
  <si>
    <t xml:space="preserve">Total liabilities &amp; equity</t>
  </si>
  <si>
    <t xml:space="preserve">Cash Flow Statement</t>
  </si>
  <si>
    <t xml:space="preserve">Operating activities</t>
  </si>
  <si>
    <t xml:space="preserve">  Net income</t>
  </si>
  <si>
    <t xml:space="preserve">  Depreciation &amp; amortisation</t>
  </si>
  <si>
    <t xml:space="preserve">  (Increase) / decrease in receivables</t>
  </si>
  <si>
    <t xml:space="preserve">  (Increase) / decrease in inventory</t>
  </si>
  <si>
    <t xml:space="preserve">  Increase / (decrease) in payables</t>
  </si>
  <si>
    <t xml:space="preserve">Cash from operating activities</t>
  </si>
  <si>
    <t xml:space="preserve">Investing activities</t>
  </si>
  <si>
    <t xml:space="preserve">  Capital expenditure</t>
  </si>
  <si>
    <t xml:space="preserve">Cash from investing activities</t>
  </si>
  <si>
    <t xml:space="preserve">Financing activities</t>
  </si>
  <si>
    <t xml:space="preserve">  Dividends paid</t>
  </si>
  <si>
    <t xml:space="preserve">Cash from financing activities</t>
  </si>
  <si>
    <t xml:space="preserve">Net change in cash</t>
  </si>
  <si>
    <t xml:space="preserve">Ending cash</t>
  </si>
  <si>
    <t xml:space="preserve">Model Checks</t>
  </si>
  <si>
    <t xml:space="preserve">Illustrative Manufacturing Co. (difference should be zero)</t>
  </si>
  <si>
    <t xml:space="preserve">Balance sheet: assets less liabilities &amp; equity</t>
  </si>
  <si>
    <t xml:space="preserve">Cash: balance sheet less cash flow ending cash</t>
  </si>
  <si>
    <t xml:space="preserve">All checks pass?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</si>
</sst>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;\(0.0%\);\-"/>
    <numFmt numFmtId="166" formatCode="0&quot; days&quot;"/>
    <numFmt numFmtId="167" formatCode="#,##0;\(#,##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b val="true"/>
      <sz val="11"/>
      <color rgb="FF0000FF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9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26.8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3" t="s">
        <v>4</v>
      </c>
      <c r="C6" s="4" t="s">
        <v>5</v>
      </c>
    </row>
    <row r="7" customFormat="false" ht="26.85" hidden="false" customHeight="false" outlineLevel="0" collapsed="false">
      <c r="B7" s="3" t="s">
        <v>6</v>
      </c>
      <c r="C7" s="4" t="s">
        <v>7</v>
      </c>
    </row>
    <row r="8" customFormat="false" ht="15" hidden="false" customHeight="false" outlineLevel="0" collapsed="false">
      <c r="B8" s="3" t="s">
        <v>8</v>
      </c>
      <c r="C8" s="4" t="s">
        <v>9</v>
      </c>
    </row>
    <row r="9" customFormat="false" ht="15" hidden="false" customHeight="false" outlineLevel="0" collapsed="false">
      <c r="B9" s="3" t="s">
        <v>10</v>
      </c>
      <c r="C9" s="4" t="s">
        <v>11</v>
      </c>
    </row>
    <row r="10" customFormat="false" ht="26.85" hidden="false" customHeight="false" outlineLevel="0" collapsed="false">
      <c r="B10" s="3" t="s">
        <v>12</v>
      </c>
      <c r="C10" s="4" t="s">
        <v>13</v>
      </c>
    </row>
    <row r="11" customFormat="false" ht="26.85" hidden="false" customHeight="false" outlineLevel="0" collapsed="false">
      <c r="B11" s="3" t="s">
        <v>14</v>
      </c>
      <c r="C11" s="4" t="s">
        <v>15</v>
      </c>
    </row>
    <row r="12" customFormat="false" ht="15" hidden="false" customHeight="false" outlineLevel="0" collapsed="false">
      <c r="B12" s="3" t="s">
        <v>16</v>
      </c>
      <c r="C12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9" min="3" style="0" width="12"/>
  </cols>
  <sheetData>
    <row r="1" customFormat="false" ht="17.35" hidden="false" customHeight="false" outlineLevel="0" collapsed="false">
      <c r="B1" s="5" t="s">
        <v>18</v>
      </c>
    </row>
    <row r="2" customFormat="false" ht="15" hidden="false" customHeight="false" outlineLevel="0" collapsed="false">
      <c r="B2" s="2" t="s">
        <v>19</v>
      </c>
    </row>
    <row r="4" customFormat="false" ht="15" hidden="false" customHeight="false" outlineLevel="0" collapsed="false">
      <c r="B4" s="6"/>
      <c r="C4" s="7" t="s">
        <v>20</v>
      </c>
      <c r="D4" s="7" t="s">
        <v>21</v>
      </c>
      <c r="E4" s="7" t="s">
        <v>22</v>
      </c>
      <c r="F4" s="7" t="s">
        <v>23</v>
      </c>
      <c r="G4" s="7" t="s">
        <v>24</v>
      </c>
      <c r="H4" s="7" t="s">
        <v>25</v>
      </c>
      <c r="I4" s="7" t="s">
        <v>26</v>
      </c>
    </row>
    <row r="5" customFormat="false" ht="15" hidden="false" customHeight="false" outlineLevel="0" collapsed="false">
      <c r="B5" s="8" t="s">
        <v>27</v>
      </c>
      <c r="C5" s="9" t="n">
        <v>1</v>
      </c>
      <c r="D5" s="10" t="str">
        <f aca="false">CHOOSE($C$5,"Base","Upside","Downside")</f>
        <v>Base</v>
      </c>
      <c r="E5" s="2" t="s">
        <v>28</v>
      </c>
    </row>
    <row r="7" customFormat="false" ht="15" hidden="false" customHeight="false" outlineLevel="0" collapsed="false">
      <c r="B7" s="8" t="s">
        <v>29</v>
      </c>
    </row>
    <row r="8" customFormat="false" ht="15" hidden="false" customHeight="false" outlineLevel="0" collapsed="false">
      <c r="B8" s="10" t="s">
        <v>30</v>
      </c>
      <c r="E8" s="11" t="n">
        <v>0.1</v>
      </c>
      <c r="F8" s="11" t="n">
        <v>0.09</v>
      </c>
      <c r="G8" s="11" t="n">
        <v>0.08</v>
      </c>
      <c r="H8" s="11" t="n">
        <v>0.07</v>
      </c>
      <c r="I8" s="11" t="n">
        <v>0.06</v>
      </c>
    </row>
    <row r="9" customFormat="false" ht="15" hidden="false" customHeight="false" outlineLevel="0" collapsed="false">
      <c r="B9" s="10" t="s">
        <v>31</v>
      </c>
      <c r="E9" s="11" t="n">
        <v>0.14</v>
      </c>
      <c r="F9" s="11" t="n">
        <v>0.12</v>
      </c>
      <c r="G9" s="11" t="n">
        <v>0.11</v>
      </c>
      <c r="H9" s="11" t="n">
        <v>0.1</v>
      </c>
      <c r="I9" s="11" t="n">
        <v>0.09</v>
      </c>
    </row>
    <row r="10" customFormat="false" ht="15" hidden="false" customHeight="false" outlineLevel="0" collapsed="false">
      <c r="B10" s="10" t="s">
        <v>32</v>
      </c>
      <c r="E10" s="11" t="n">
        <v>0.04</v>
      </c>
      <c r="F10" s="11" t="n">
        <v>0.03</v>
      </c>
      <c r="G10" s="11" t="n">
        <v>0.03</v>
      </c>
      <c r="H10" s="11" t="n">
        <v>0.02</v>
      </c>
      <c r="I10" s="11" t="n">
        <v>0.02</v>
      </c>
    </row>
    <row r="11" customFormat="false" ht="15" hidden="false" customHeight="false" outlineLevel="0" collapsed="false">
      <c r="B11" s="8" t="s">
        <v>33</v>
      </c>
      <c r="E11" s="12" t="n">
        <f aca="false">CHOOSE($C$5,E8,E9,E10)</f>
        <v>0.1</v>
      </c>
      <c r="F11" s="12" t="n">
        <f aca="false">CHOOSE($C$5,F8,F9,F10)</f>
        <v>0.09</v>
      </c>
      <c r="G11" s="12" t="n">
        <f aca="false">CHOOSE($C$5,G8,G9,G10)</f>
        <v>0.08</v>
      </c>
      <c r="H11" s="12" t="n">
        <f aca="false">CHOOSE($C$5,H8,H9,H10)</f>
        <v>0.07</v>
      </c>
      <c r="I11" s="12" t="n">
        <f aca="false">CHOOSE($C$5,I8,I9,I10)</f>
        <v>0.06</v>
      </c>
    </row>
    <row r="13" customFormat="false" ht="15" hidden="false" customHeight="false" outlineLevel="0" collapsed="false">
      <c r="B13" s="8" t="s">
        <v>34</v>
      </c>
    </row>
    <row r="14" customFormat="false" ht="15" hidden="false" customHeight="false" outlineLevel="0" collapsed="false">
      <c r="B14" s="10" t="s">
        <v>35</v>
      </c>
      <c r="E14" s="11" t="n">
        <v>0.6</v>
      </c>
      <c r="F14" s="11" t="n">
        <v>0.595</v>
      </c>
      <c r="G14" s="11" t="n">
        <v>0.59</v>
      </c>
      <c r="H14" s="11" t="n">
        <v>0.59</v>
      </c>
      <c r="I14" s="11" t="n">
        <v>0.59</v>
      </c>
    </row>
    <row r="15" customFormat="false" ht="15" hidden="false" customHeight="false" outlineLevel="0" collapsed="false">
      <c r="B15" s="10" t="s">
        <v>36</v>
      </c>
      <c r="E15" s="11" t="n">
        <v>0.2</v>
      </c>
      <c r="F15" s="11" t="n">
        <v>0.2</v>
      </c>
      <c r="G15" s="11" t="n">
        <v>0.195</v>
      </c>
      <c r="H15" s="11" t="n">
        <v>0.195</v>
      </c>
      <c r="I15" s="11" t="n">
        <v>0.19</v>
      </c>
    </row>
    <row r="16" customFormat="false" ht="15" hidden="false" customHeight="false" outlineLevel="0" collapsed="false">
      <c r="B16" s="10" t="s">
        <v>37</v>
      </c>
      <c r="E16" s="13" t="n">
        <v>0.05</v>
      </c>
      <c r="F16" s="13" t="n">
        <v>0.05</v>
      </c>
      <c r="G16" s="13" t="n">
        <v>0.05</v>
      </c>
      <c r="H16" s="13" t="n">
        <v>0.05</v>
      </c>
      <c r="I16" s="13" t="n">
        <v>0.05</v>
      </c>
    </row>
    <row r="17" customFormat="false" ht="15" hidden="false" customHeight="false" outlineLevel="0" collapsed="false">
      <c r="B17" s="10" t="s">
        <v>38</v>
      </c>
      <c r="E17" s="11" t="n">
        <v>0.065</v>
      </c>
      <c r="F17" s="11" t="n">
        <v>0.06</v>
      </c>
      <c r="G17" s="11" t="n">
        <v>0.06</v>
      </c>
      <c r="H17" s="11" t="n">
        <v>0.055</v>
      </c>
      <c r="I17" s="11" t="n">
        <v>0.055</v>
      </c>
    </row>
    <row r="18" customFormat="false" ht="15" hidden="false" customHeight="false" outlineLevel="0" collapsed="false">
      <c r="B18" s="10" t="s">
        <v>39</v>
      </c>
      <c r="E18" s="13" t="n">
        <v>0.25</v>
      </c>
      <c r="F18" s="13" t="n">
        <v>0.25</v>
      </c>
      <c r="G18" s="13" t="n">
        <v>0.25</v>
      </c>
      <c r="H18" s="13" t="n">
        <v>0.25</v>
      </c>
      <c r="I18" s="13" t="n">
        <v>0.25</v>
      </c>
    </row>
    <row r="20" customFormat="false" ht="15" hidden="false" customHeight="false" outlineLevel="0" collapsed="false">
      <c r="B20" s="8" t="s">
        <v>40</v>
      </c>
    </row>
    <row r="21" customFormat="false" ht="15" hidden="false" customHeight="false" outlineLevel="0" collapsed="false">
      <c r="B21" s="10" t="s">
        <v>41</v>
      </c>
      <c r="E21" s="14" t="n">
        <v>50</v>
      </c>
      <c r="F21" s="14" t="n">
        <v>50</v>
      </c>
      <c r="G21" s="14" t="n">
        <v>50</v>
      </c>
      <c r="H21" s="14" t="n">
        <v>50</v>
      </c>
      <c r="I21" s="14" t="n">
        <v>50</v>
      </c>
    </row>
    <row r="22" customFormat="false" ht="15" hidden="false" customHeight="false" outlineLevel="0" collapsed="false">
      <c r="B22" s="10" t="s">
        <v>42</v>
      </c>
      <c r="E22" s="14" t="n">
        <v>60</v>
      </c>
      <c r="F22" s="14" t="n">
        <v>60</v>
      </c>
      <c r="G22" s="14" t="n">
        <v>60</v>
      </c>
      <c r="H22" s="14" t="n">
        <v>60</v>
      </c>
      <c r="I22" s="14" t="n">
        <v>60</v>
      </c>
    </row>
    <row r="23" customFormat="false" ht="15" hidden="false" customHeight="false" outlineLevel="0" collapsed="false">
      <c r="B23" s="10" t="s">
        <v>43</v>
      </c>
      <c r="E23" s="14" t="n">
        <v>45</v>
      </c>
      <c r="F23" s="14" t="n">
        <v>45</v>
      </c>
      <c r="G23" s="14" t="n">
        <v>45</v>
      </c>
      <c r="H23" s="14" t="n">
        <v>45</v>
      </c>
      <c r="I23" s="14" t="n">
        <v>45</v>
      </c>
    </row>
    <row r="25" customFormat="false" ht="15" hidden="false" customHeight="false" outlineLevel="0" collapsed="false">
      <c r="B25" s="8" t="s">
        <v>44</v>
      </c>
    </row>
    <row r="26" customFormat="false" ht="15" hidden="false" customHeight="false" outlineLevel="0" collapsed="false">
      <c r="B26" s="10" t="s">
        <v>45</v>
      </c>
      <c r="E26" s="13" t="n">
        <v>0.07</v>
      </c>
      <c r="F26" s="13" t="n">
        <v>0.07</v>
      </c>
      <c r="G26" s="13" t="n">
        <v>0.07</v>
      </c>
      <c r="H26" s="13" t="n">
        <v>0.07</v>
      </c>
      <c r="I26" s="13" t="n">
        <v>0.07</v>
      </c>
    </row>
    <row r="27" customFormat="false" ht="15" hidden="false" customHeight="false" outlineLevel="0" collapsed="false">
      <c r="B27" s="10" t="s">
        <v>46</v>
      </c>
      <c r="E27" s="15" t="n">
        <v>300</v>
      </c>
      <c r="F27" s="15" t="n">
        <v>300</v>
      </c>
      <c r="G27" s="15" t="n">
        <v>300</v>
      </c>
      <c r="H27" s="15" t="n">
        <v>300</v>
      </c>
      <c r="I27" s="15" t="n">
        <v>300</v>
      </c>
    </row>
    <row r="28" customFormat="false" ht="15" hidden="false" customHeight="false" outlineLevel="0" collapsed="false">
      <c r="B28" s="10" t="s">
        <v>47</v>
      </c>
      <c r="E28" s="13" t="n">
        <v>0.3</v>
      </c>
      <c r="F28" s="13" t="n">
        <v>0.3</v>
      </c>
      <c r="G28" s="13" t="n">
        <v>0.3</v>
      </c>
      <c r="H28" s="13" t="n">
        <v>0.3</v>
      </c>
      <c r="I28" s="13" t="n">
        <v>0.3</v>
      </c>
    </row>
    <row r="30" customFormat="false" ht="15" hidden="false" customHeight="false" outlineLevel="0" collapsed="false">
      <c r="B30" s="2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9" min="3" style="0" width="12"/>
  </cols>
  <sheetData>
    <row r="1" customFormat="false" ht="17.35" hidden="false" customHeight="false" outlineLevel="0" collapsed="false">
      <c r="B1" s="5" t="s">
        <v>49</v>
      </c>
    </row>
    <row r="2" customFormat="false" ht="15" hidden="false" customHeight="false" outlineLevel="0" collapsed="false">
      <c r="B2" s="2" t="s">
        <v>19</v>
      </c>
    </row>
    <row r="4" customFormat="false" ht="15" hidden="false" customHeight="false" outlineLevel="0" collapsed="false">
      <c r="B4" s="6"/>
      <c r="C4" s="7" t="s">
        <v>20</v>
      </c>
      <c r="D4" s="7" t="s">
        <v>21</v>
      </c>
      <c r="E4" s="7" t="s">
        <v>22</v>
      </c>
      <c r="F4" s="7" t="s">
        <v>23</v>
      </c>
      <c r="G4" s="7" t="s">
        <v>24</v>
      </c>
      <c r="H4" s="7" t="s">
        <v>25</v>
      </c>
      <c r="I4" s="7" t="s">
        <v>26</v>
      </c>
    </row>
    <row r="5" customFormat="false" ht="15" hidden="false" customHeight="false" outlineLevel="0" collapsed="false">
      <c r="B5" s="8" t="s">
        <v>50</v>
      </c>
      <c r="C5" s="16" t="n">
        <v>10800</v>
      </c>
      <c r="D5" s="16" t="n">
        <v>12000</v>
      </c>
      <c r="E5" s="17" t="n">
        <f aca="false">D5*(1+Assumptions!E11)</f>
        <v>13200</v>
      </c>
      <c r="F5" s="17" t="n">
        <f aca="false">E5*(1+Assumptions!F11)</f>
        <v>14388</v>
      </c>
      <c r="G5" s="17" t="n">
        <f aca="false">F5*(1+Assumptions!G11)</f>
        <v>15539.04</v>
      </c>
      <c r="H5" s="17" t="n">
        <f aca="false">G5*(1+Assumptions!H11)</f>
        <v>16626.7728</v>
      </c>
      <c r="I5" s="17" t="n">
        <f aca="false">H5*(1+Assumptions!I11)</f>
        <v>17624.379168</v>
      </c>
    </row>
    <row r="6" customFormat="false" ht="15" hidden="false" customHeight="false" outlineLevel="0" collapsed="false">
      <c r="B6" s="10" t="s">
        <v>51</v>
      </c>
      <c r="D6" s="18" t="n">
        <f aca="false">D5/C5-1</f>
        <v>0.111111111111111</v>
      </c>
      <c r="E6" s="18" t="n">
        <f aca="false">E5/D5-1</f>
        <v>0.1</v>
      </c>
      <c r="F6" s="18" t="n">
        <f aca="false">F5/E5-1</f>
        <v>0.0900000000000001</v>
      </c>
      <c r="G6" s="18" t="n">
        <f aca="false">G5/F5-1</f>
        <v>0.0800000000000001</v>
      </c>
      <c r="H6" s="18" t="n">
        <f aca="false">H5/G5-1</f>
        <v>0.0700000000000001</v>
      </c>
      <c r="I6" s="18" t="n">
        <f aca="false">I5/H5-1</f>
        <v>0.0600000000000001</v>
      </c>
    </row>
    <row r="7" customFormat="false" ht="15" hidden="false" customHeight="false" outlineLevel="0" collapsed="false">
      <c r="B7" s="10" t="s">
        <v>52</v>
      </c>
      <c r="C7" s="15" t="n">
        <v>-6588</v>
      </c>
      <c r="D7" s="15" t="n">
        <v>-7200</v>
      </c>
      <c r="E7" s="19" t="n">
        <f aca="false">-E5*Assumptions!E14</f>
        <v>-7920</v>
      </c>
      <c r="F7" s="19" t="n">
        <f aca="false">-F5*Assumptions!F14</f>
        <v>-8560.86</v>
      </c>
      <c r="G7" s="19" t="n">
        <f aca="false">-G5*Assumptions!G14</f>
        <v>-9168.0336</v>
      </c>
      <c r="H7" s="19" t="n">
        <f aca="false">-H5*Assumptions!H14</f>
        <v>-9809.795952</v>
      </c>
      <c r="I7" s="19" t="n">
        <f aca="false">-I5*Assumptions!I14</f>
        <v>-10398.38370912</v>
      </c>
    </row>
    <row r="8" customFormat="false" ht="15" hidden="false" customHeight="false" outlineLevel="0" collapsed="false">
      <c r="B8" s="8" t="s">
        <v>53</v>
      </c>
      <c r="C8" s="20" t="n">
        <f aca="false">C5+C7</f>
        <v>4212</v>
      </c>
      <c r="D8" s="20" t="n">
        <f aca="false">D5+D7</f>
        <v>4800</v>
      </c>
      <c r="E8" s="20" t="n">
        <f aca="false">E5+E7</f>
        <v>5280</v>
      </c>
      <c r="F8" s="20" t="n">
        <f aca="false">F5+F7</f>
        <v>5827.14</v>
      </c>
      <c r="G8" s="20" t="n">
        <f aca="false">G5+G7</f>
        <v>6371.0064</v>
      </c>
      <c r="H8" s="20" t="n">
        <f aca="false">H5+H7</f>
        <v>6816.976848</v>
      </c>
      <c r="I8" s="20" t="n">
        <f aca="false">I5+I7</f>
        <v>7225.99545888</v>
      </c>
    </row>
    <row r="9" customFormat="false" ht="15" hidden="false" customHeight="false" outlineLevel="0" collapsed="false">
      <c r="B9" s="10" t="s">
        <v>54</v>
      </c>
      <c r="C9" s="18" t="n">
        <f aca="false">IF(C5=0,0,C8/C5)</f>
        <v>0.39</v>
      </c>
      <c r="D9" s="18" t="n">
        <f aca="false">IF(D5=0,0,D8/D5)</f>
        <v>0.4</v>
      </c>
      <c r="E9" s="18" t="n">
        <f aca="false">IF(E5=0,0,E8/E5)</f>
        <v>0.4</v>
      </c>
      <c r="F9" s="18" t="n">
        <f aca="false">IF(F5=0,0,F8/F5)</f>
        <v>0.405</v>
      </c>
      <c r="G9" s="18" t="n">
        <f aca="false">IF(G5=0,0,G8/G5)</f>
        <v>0.41</v>
      </c>
      <c r="H9" s="18" t="n">
        <f aca="false">IF(H5=0,0,H8/H5)</f>
        <v>0.41</v>
      </c>
      <c r="I9" s="18" t="n">
        <f aca="false">IF(I5=0,0,I8/I5)</f>
        <v>0.41</v>
      </c>
    </row>
    <row r="10" customFormat="false" ht="15" hidden="false" customHeight="false" outlineLevel="0" collapsed="false">
      <c r="B10" s="10" t="s">
        <v>55</v>
      </c>
      <c r="C10" s="15" t="n">
        <v>-2268</v>
      </c>
      <c r="D10" s="15" t="n">
        <v>-2460</v>
      </c>
      <c r="E10" s="19" t="n">
        <f aca="false">-E5*Assumptions!E15</f>
        <v>-2640</v>
      </c>
      <c r="F10" s="19" t="n">
        <f aca="false">-F5*Assumptions!F15</f>
        <v>-2877.6</v>
      </c>
      <c r="G10" s="19" t="n">
        <f aca="false">-G5*Assumptions!G15</f>
        <v>-3030.1128</v>
      </c>
      <c r="H10" s="19" t="n">
        <f aca="false">-H5*Assumptions!H15</f>
        <v>-3242.220696</v>
      </c>
      <c r="I10" s="19" t="n">
        <f aca="false">-I5*Assumptions!I15</f>
        <v>-3348.63204192</v>
      </c>
    </row>
    <row r="11" customFormat="false" ht="15" hidden="false" customHeight="false" outlineLevel="0" collapsed="false">
      <c r="B11" s="8" t="s">
        <v>56</v>
      </c>
      <c r="C11" s="20" t="n">
        <f aca="false">C8+C10</f>
        <v>1944</v>
      </c>
      <c r="D11" s="20" t="n">
        <f aca="false">D8+D10</f>
        <v>2340</v>
      </c>
      <c r="E11" s="20" t="n">
        <f aca="false">E8+E10</f>
        <v>2640</v>
      </c>
      <c r="F11" s="20" t="n">
        <f aca="false">F8+F10</f>
        <v>2949.54</v>
      </c>
      <c r="G11" s="20" t="n">
        <f aca="false">G8+G10</f>
        <v>3340.8936</v>
      </c>
      <c r="H11" s="20" t="n">
        <f aca="false">H8+H10</f>
        <v>3574.756152</v>
      </c>
      <c r="I11" s="20" t="n">
        <f aca="false">I8+I10</f>
        <v>3877.36341696</v>
      </c>
    </row>
    <row r="12" customFormat="false" ht="15" hidden="false" customHeight="false" outlineLevel="0" collapsed="false">
      <c r="B12" s="10" t="s">
        <v>57</v>
      </c>
      <c r="C12" s="18" t="n">
        <f aca="false">IF(C5=0,0,C11/C5)</f>
        <v>0.18</v>
      </c>
      <c r="D12" s="18" t="n">
        <f aca="false">IF(D5=0,0,D11/D5)</f>
        <v>0.195</v>
      </c>
      <c r="E12" s="18" t="n">
        <f aca="false">IF(E5=0,0,E11/E5)</f>
        <v>0.2</v>
      </c>
      <c r="F12" s="18" t="n">
        <f aca="false">IF(F5=0,0,F11/F5)</f>
        <v>0.205</v>
      </c>
      <c r="G12" s="18" t="n">
        <f aca="false">IF(G5=0,0,G11/G5)</f>
        <v>0.215</v>
      </c>
      <c r="H12" s="18" t="n">
        <f aca="false">IF(H5=0,0,H11/H5)</f>
        <v>0.215</v>
      </c>
      <c r="I12" s="18" t="n">
        <f aca="false">IF(I5=0,0,I11/I5)</f>
        <v>0.22</v>
      </c>
    </row>
    <row r="13" customFormat="false" ht="15" hidden="false" customHeight="false" outlineLevel="0" collapsed="false">
      <c r="B13" s="10" t="s">
        <v>58</v>
      </c>
      <c r="C13" s="15" t="n">
        <v>-540</v>
      </c>
      <c r="D13" s="15" t="n">
        <v>-600</v>
      </c>
      <c r="E13" s="19" t="n">
        <f aca="false">-E5*Assumptions!E16</f>
        <v>-660</v>
      </c>
      <c r="F13" s="19" t="n">
        <f aca="false">-F5*Assumptions!F16</f>
        <v>-719.4</v>
      </c>
      <c r="G13" s="19" t="n">
        <f aca="false">-G5*Assumptions!G16</f>
        <v>-776.952</v>
      </c>
      <c r="H13" s="19" t="n">
        <f aca="false">-H5*Assumptions!H16</f>
        <v>-831.33864</v>
      </c>
      <c r="I13" s="19" t="n">
        <f aca="false">-I5*Assumptions!I16</f>
        <v>-881.2189584</v>
      </c>
    </row>
    <row r="14" customFormat="false" ht="15" hidden="false" customHeight="false" outlineLevel="0" collapsed="false">
      <c r="B14" s="8" t="s">
        <v>59</v>
      </c>
      <c r="C14" s="20" t="n">
        <f aca="false">C11+C13</f>
        <v>1404</v>
      </c>
      <c r="D14" s="20" t="n">
        <f aca="false">D11+D13</f>
        <v>1740</v>
      </c>
      <c r="E14" s="20" t="n">
        <f aca="false">E11+E13</f>
        <v>1980</v>
      </c>
      <c r="F14" s="20" t="n">
        <f aca="false">F11+F13</f>
        <v>2230.14</v>
      </c>
      <c r="G14" s="20" t="n">
        <f aca="false">G11+G13</f>
        <v>2563.9416</v>
      </c>
      <c r="H14" s="20" t="n">
        <f aca="false">H11+H13</f>
        <v>2743.417512</v>
      </c>
      <c r="I14" s="20" t="n">
        <f aca="false">I11+I13</f>
        <v>2996.14445856</v>
      </c>
    </row>
    <row r="15" customFormat="false" ht="15" hidden="false" customHeight="false" outlineLevel="0" collapsed="false">
      <c r="B15" s="10" t="s">
        <v>60</v>
      </c>
      <c r="C15" s="15" t="n">
        <v>-215</v>
      </c>
      <c r="D15" s="15" t="n">
        <v>-200</v>
      </c>
      <c r="E15" s="19" t="n">
        <f aca="false">-'Balance Sheet'!D17*Assumptions!E26</f>
        <v>-210</v>
      </c>
      <c r="F15" s="19" t="n">
        <f aca="false">-'Balance Sheet'!E17*Assumptions!F26</f>
        <v>-189</v>
      </c>
      <c r="G15" s="19" t="n">
        <f aca="false">-'Balance Sheet'!F17*Assumptions!G26</f>
        <v>-168</v>
      </c>
      <c r="H15" s="19" t="n">
        <f aca="false">-'Balance Sheet'!G17*Assumptions!H26</f>
        <v>-147</v>
      </c>
      <c r="I15" s="19" t="n">
        <f aca="false">-'Balance Sheet'!H17*Assumptions!I26</f>
        <v>-126</v>
      </c>
    </row>
    <row r="16" customFormat="false" ht="15" hidden="false" customHeight="false" outlineLevel="0" collapsed="false">
      <c r="B16" s="8" t="s">
        <v>61</v>
      </c>
      <c r="C16" s="20" t="n">
        <f aca="false">C14+C15</f>
        <v>1189</v>
      </c>
      <c r="D16" s="20" t="n">
        <f aca="false">D14+D15</f>
        <v>1540</v>
      </c>
      <c r="E16" s="20" t="n">
        <f aca="false">E14+E15</f>
        <v>1770</v>
      </c>
      <c r="F16" s="20" t="n">
        <f aca="false">F14+F15</f>
        <v>2041.14</v>
      </c>
      <c r="G16" s="20" t="n">
        <f aca="false">G14+G15</f>
        <v>2395.9416</v>
      </c>
      <c r="H16" s="20" t="n">
        <f aca="false">H14+H15</f>
        <v>2596.417512</v>
      </c>
      <c r="I16" s="20" t="n">
        <f aca="false">I14+I15</f>
        <v>2870.14445856</v>
      </c>
    </row>
    <row r="17" customFormat="false" ht="15" hidden="false" customHeight="false" outlineLevel="0" collapsed="false">
      <c r="B17" s="10" t="s">
        <v>62</v>
      </c>
      <c r="C17" s="21" t="n">
        <f aca="false">-MAX(0,C16*0.25)</f>
        <v>-297.25</v>
      </c>
      <c r="D17" s="21" t="n">
        <f aca="false">-MAX(0,D16*0.25)</f>
        <v>-385</v>
      </c>
      <c r="E17" s="19" t="n">
        <f aca="false">-MAX(0,E16*Assumptions!E18)</f>
        <v>-442.5</v>
      </c>
      <c r="F17" s="19" t="n">
        <f aca="false">-MAX(0,F16*Assumptions!F18)</f>
        <v>-510.285</v>
      </c>
      <c r="G17" s="19" t="n">
        <f aca="false">-MAX(0,G16*Assumptions!G18)</f>
        <v>-598.9854</v>
      </c>
      <c r="H17" s="19" t="n">
        <f aca="false">-MAX(0,H16*Assumptions!H18)</f>
        <v>-649.104378000001</v>
      </c>
      <c r="I17" s="19" t="n">
        <f aca="false">-MAX(0,I16*Assumptions!I18)</f>
        <v>-717.53611464</v>
      </c>
    </row>
    <row r="18" customFormat="false" ht="15" hidden="false" customHeight="false" outlineLevel="0" collapsed="false">
      <c r="B18" s="8" t="s">
        <v>63</v>
      </c>
      <c r="C18" s="22" t="n">
        <f aca="false">C16+C17</f>
        <v>891.75</v>
      </c>
      <c r="D18" s="22" t="n">
        <f aca="false">D16+D17</f>
        <v>1155</v>
      </c>
      <c r="E18" s="22" t="n">
        <f aca="false">E16+E17</f>
        <v>1327.5</v>
      </c>
      <c r="F18" s="22" t="n">
        <f aca="false">F16+F17</f>
        <v>1530.855</v>
      </c>
      <c r="G18" s="22" t="n">
        <f aca="false">G16+G17</f>
        <v>1796.9562</v>
      </c>
      <c r="H18" s="22" t="n">
        <f aca="false">H16+H17</f>
        <v>1947.313134</v>
      </c>
      <c r="I18" s="22" t="n">
        <f aca="false">I16+I17</f>
        <v>2152.60834392</v>
      </c>
    </row>
    <row r="19" customFormat="false" ht="15" hidden="false" customHeight="false" outlineLevel="0" collapsed="false">
      <c r="B19" s="10" t="s">
        <v>64</v>
      </c>
      <c r="C19" s="18" t="n">
        <f aca="false">IF(C5=0,0,C18/C5)</f>
        <v>0.0825694444444445</v>
      </c>
      <c r="D19" s="18" t="n">
        <f aca="false">IF(D5=0,0,D18/D5)</f>
        <v>0.09625</v>
      </c>
      <c r="E19" s="18" t="n">
        <f aca="false">IF(E5=0,0,E18/E5)</f>
        <v>0.100568181818182</v>
      </c>
      <c r="F19" s="18" t="n">
        <f aca="false">IF(F5=0,0,F18/F5)</f>
        <v>0.106398040033361</v>
      </c>
      <c r="G19" s="18" t="n">
        <f aca="false">IF(G5=0,0,G18/G5)</f>
        <v>0.11564139097396</v>
      </c>
      <c r="H19" s="18" t="n">
        <f aca="false">IF(H5=0,0,H18/H5)</f>
        <v>0.117119128132911</v>
      </c>
      <c r="I19" s="18" t="n">
        <f aca="false">IF(I5=0,0,I18/I5)</f>
        <v>0.122138109002354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9" min="3" style="0" width="12"/>
  </cols>
  <sheetData>
    <row r="1" customFormat="false" ht="17.35" hidden="false" customHeight="false" outlineLevel="0" collapsed="false">
      <c r="B1" s="5" t="s">
        <v>65</v>
      </c>
    </row>
    <row r="2" customFormat="false" ht="15" hidden="false" customHeight="false" outlineLevel="0" collapsed="false">
      <c r="B2" s="2" t="s">
        <v>19</v>
      </c>
    </row>
    <row r="4" customFormat="false" ht="15" hidden="false" customHeight="false" outlineLevel="0" collapsed="false">
      <c r="B4" s="6"/>
      <c r="C4" s="7" t="s">
        <v>20</v>
      </c>
      <c r="D4" s="7" t="s">
        <v>21</v>
      </c>
      <c r="E4" s="7" t="s">
        <v>22</v>
      </c>
      <c r="F4" s="7" t="s">
        <v>23</v>
      </c>
      <c r="G4" s="7" t="s">
        <v>24</v>
      </c>
      <c r="H4" s="7" t="s">
        <v>25</v>
      </c>
      <c r="I4" s="7" t="s">
        <v>26</v>
      </c>
    </row>
    <row r="5" customFormat="false" ht="15" hidden="false" customHeight="false" outlineLevel="0" collapsed="false">
      <c r="B5" s="8" t="s">
        <v>66</v>
      </c>
    </row>
    <row r="6" customFormat="false" ht="15" hidden="false" customHeight="false" outlineLevel="0" collapsed="false">
      <c r="B6" s="10" t="s">
        <v>67</v>
      </c>
      <c r="C6" s="15" t="n">
        <v>900</v>
      </c>
      <c r="D6" s="15" t="n">
        <v>908</v>
      </c>
      <c r="E6" s="19" t="n">
        <f aca="false">'Cash Flow'!E20</f>
        <v>1145.55136986301</v>
      </c>
      <c r="F6" s="19" t="n">
        <f aca="false">'Cash Flow'!F20</f>
        <v>1584.19343150685</v>
      </c>
      <c r="G6" s="19" t="n">
        <f aca="false">'Cash Flow'!G20</f>
        <v>2204.04331945206</v>
      </c>
      <c r="H6" s="19" t="n">
        <f aca="false">'Cash Flow'!H20</f>
        <v>3008.6503608137</v>
      </c>
      <c r="I6" s="19" t="n">
        <f aca="false">'Cash Flow'!I20</f>
        <v>3966.50736117852</v>
      </c>
    </row>
    <row r="7" customFormat="false" ht="15" hidden="false" customHeight="false" outlineLevel="0" collapsed="false">
      <c r="B7" s="10" t="s">
        <v>68</v>
      </c>
      <c r="C7" s="15" t="n">
        <v>1450</v>
      </c>
      <c r="D7" s="15" t="n">
        <v>1644</v>
      </c>
      <c r="E7" s="19" t="n">
        <f aca="false">'Income Statement'!E5*Assumptions!E21/365</f>
        <v>1808.21917808219</v>
      </c>
      <c r="F7" s="19" t="n">
        <f aca="false">'Income Statement'!F5*Assumptions!F21/365</f>
        <v>1970.95890410959</v>
      </c>
      <c r="G7" s="19" t="n">
        <f aca="false">'Income Statement'!G5*Assumptions!G21/365</f>
        <v>2128.63561643836</v>
      </c>
      <c r="H7" s="19" t="n">
        <f aca="false">'Income Statement'!H5*Assumptions!H21/365</f>
        <v>2277.64010958904</v>
      </c>
      <c r="I7" s="19" t="n">
        <f aca="false">'Income Statement'!I5*Assumptions!I21/365</f>
        <v>2414.29851616438</v>
      </c>
    </row>
    <row r="8" customFormat="false" ht="15" hidden="false" customHeight="false" outlineLevel="0" collapsed="false">
      <c r="B8" s="10" t="s">
        <v>69</v>
      </c>
      <c r="C8" s="15" t="n">
        <v>1080</v>
      </c>
      <c r="D8" s="15" t="n">
        <v>1184</v>
      </c>
      <c r="E8" s="19" t="n">
        <f aca="false">-'Income Statement'!E7*Assumptions!E22/365</f>
        <v>1301.91780821918</v>
      </c>
      <c r="F8" s="19" t="n">
        <f aca="false">-'Income Statement'!F7*Assumptions!F22/365</f>
        <v>1407.26465753425</v>
      </c>
      <c r="G8" s="19" t="n">
        <f aca="false">-'Income Statement'!G7*Assumptions!G22/365</f>
        <v>1507.07401643836</v>
      </c>
      <c r="H8" s="19" t="n">
        <f aca="false">-'Income Statement'!H7*Assumptions!H22/365</f>
        <v>1612.56919758904</v>
      </c>
      <c r="I8" s="19" t="n">
        <f aca="false">-'Income Statement'!I7*Assumptions!I22/365</f>
        <v>1709.32334944438</v>
      </c>
    </row>
    <row r="9" customFormat="false" ht="15" hidden="false" customHeight="false" outlineLevel="0" collapsed="false">
      <c r="B9" s="8" t="s">
        <v>70</v>
      </c>
      <c r="C9" s="20" t="n">
        <f aca="false">SUM(C6:C8)</f>
        <v>3430</v>
      </c>
      <c r="D9" s="20" t="n">
        <f aca="false">SUM(D6:D8)</f>
        <v>3736</v>
      </c>
      <c r="E9" s="20" t="n">
        <f aca="false">SUM(E6:E8)</f>
        <v>4255.68835616438</v>
      </c>
      <c r="F9" s="20" t="n">
        <f aca="false">SUM(F6:F8)</f>
        <v>4962.41699315069</v>
      </c>
      <c r="G9" s="20" t="n">
        <f aca="false">SUM(G6:G8)</f>
        <v>5839.75295232877</v>
      </c>
      <c r="H9" s="20" t="n">
        <f aca="false">SUM(H6:H8)</f>
        <v>6898.85966799178</v>
      </c>
      <c r="I9" s="20" t="n">
        <f aca="false">SUM(I6:I8)</f>
        <v>8090.12922678729</v>
      </c>
    </row>
    <row r="10" customFormat="false" ht="15" hidden="false" customHeight="false" outlineLevel="0" collapsed="false">
      <c r="B10" s="10" t="s">
        <v>71</v>
      </c>
      <c r="C10" s="15" t="n">
        <v>3700</v>
      </c>
      <c r="D10" s="15" t="n">
        <v>4000</v>
      </c>
      <c r="E10" s="19" t="n">
        <f aca="false">D10-'Cash Flow'!E13-'Cash Flow'!E7</f>
        <v>4198</v>
      </c>
      <c r="F10" s="19" t="n">
        <f aca="false">E10-'Cash Flow'!F13-'Cash Flow'!F7</f>
        <v>4341.88</v>
      </c>
      <c r="G10" s="19" t="n">
        <f aca="false">F10-'Cash Flow'!G13-'Cash Flow'!G7</f>
        <v>4497.2704</v>
      </c>
      <c r="H10" s="19" t="n">
        <f aca="false">G10-'Cash Flow'!H13-'Cash Flow'!H7</f>
        <v>4580.404264</v>
      </c>
      <c r="I10" s="19" t="n">
        <f aca="false">H10-'Cash Flow'!I13-'Cash Flow'!I7</f>
        <v>4668.52615984</v>
      </c>
    </row>
    <row r="11" customFormat="false" ht="15" hidden="false" customHeight="false" outlineLevel="0" collapsed="false">
      <c r="B11" s="8" t="s">
        <v>72</v>
      </c>
      <c r="C11" s="22" t="n">
        <f aca="false">C9+C10</f>
        <v>7130</v>
      </c>
      <c r="D11" s="22" t="n">
        <f aca="false">D9+D10</f>
        <v>7736</v>
      </c>
      <c r="E11" s="22" t="n">
        <f aca="false">E9+E10</f>
        <v>8453.68835616438</v>
      </c>
      <c r="F11" s="22" t="n">
        <f aca="false">F9+F10</f>
        <v>9304.29699315069</v>
      </c>
      <c r="G11" s="22" t="n">
        <f aca="false">G9+G10</f>
        <v>10337.0233523288</v>
      </c>
      <c r="H11" s="22" t="n">
        <f aca="false">H9+H10</f>
        <v>11479.2639319918</v>
      </c>
      <c r="I11" s="22" t="n">
        <f aca="false">I9+I10</f>
        <v>12758.6553866273</v>
      </c>
    </row>
    <row r="13" customFormat="false" ht="15" hidden="false" customHeight="false" outlineLevel="0" collapsed="false">
      <c r="B13" s="8" t="s">
        <v>73</v>
      </c>
    </row>
    <row r="14" customFormat="false" ht="15" hidden="false" customHeight="false" outlineLevel="0" collapsed="false">
      <c r="B14" s="10" t="s">
        <v>74</v>
      </c>
      <c r="C14" s="15" t="n">
        <v>790</v>
      </c>
      <c r="D14" s="15" t="n">
        <v>888</v>
      </c>
      <c r="E14" s="19" t="n">
        <f aca="false">-'Income Statement'!E7*Assumptions!E23/365</f>
        <v>976.438356164384</v>
      </c>
      <c r="F14" s="19" t="n">
        <f aca="false">-'Income Statement'!F7*Assumptions!F23/365</f>
        <v>1055.44849315069</v>
      </c>
      <c r="G14" s="19" t="n">
        <f aca="false">-'Income Statement'!G7*Assumptions!G23/365</f>
        <v>1130.30551232877</v>
      </c>
      <c r="H14" s="19" t="n">
        <f aca="false">-'Income Statement'!H7*Assumptions!H23/365</f>
        <v>1209.42689819178</v>
      </c>
      <c r="I14" s="19" t="n">
        <f aca="false">-'Income Statement'!I7*Assumptions!I23/365</f>
        <v>1281.99251208329</v>
      </c>
    </row>
    <row r="15" customFormat="false" ht="15" hidden="false" customHeight="false" outlineLevel="0" collapsed="false">
      <c r="B15" s="8" t="s">
        <v>75</v>
      </c>
      <c r="C15" s="20" t="n">
        <f aca="false">C14</f>
        <v>790</v>
      </c>
      <c r="D15" s="20" t="n">
        <f aca="false">D14</f>
        <v>888</v>
      </c>
      <c r="E15" s="20" t="n">
        <f aca="false">E14</f>
        <v>976.438356164384</v>
      </c>
      <c r="F15" s="20" t="n">
        <f aca="false">F14</f>
        <v>1055.44849315069</v>
      </c>
      <c r="G15" s="20" t="n">
        <f aca="false">G14</f>
        <v>1130.30551232877</v>
      </c>
      <c r="H15" s="20" t="n">
        <f aca="false">H14</f>
        <v>1209.42689819178</v>
      </c>
      <c r="I15" s="20" t="n">
        <f aca="false">I14</f>
        <v>1281.99251208329</v>
      </c>
    </row>
    <row r="17" customFormat="false" ht="15" hidden="false" customHeight="false" outlineLevel="0" collapsed="false">
      <c r="B17" s="10" t="s">
        <v>76</v>
      </c>
      <c r="C17" s="15" t="n">
        <v>3300</v>
      </c>
      <c r="D17" s="15" t="n">
        <v>3000</v>
      </c>
      <c r="E17" s="19" t="n">
        <f aca="false">MAX(0,D17-Assumptions!E27)</f>
        <v>2700</v>
      </c>
      <c r="F17" s="19" t="n">
        <f aca="false">MAX(0,E17-Assumptions!F27)</f>
        <v>2400</v>
      </c>
      <c r="G17" s="19" t="n">
        <f aca="false">MAX(0,F17-Assumptions!G27)</f>
        <v>2100</v>
      </c>
      <c r="H17" s="19" t="n">
        <f aca="false">MAX(0,G17-Assumptions!H27)</f>
        <v>1800</v>
      </c>
      <c r="I17" s="19" t="n">
        <f aca="false">MAX(0,H17-Assumptions!I27)</f>
        <v>1500</v>
      </c>
    </row>
    <row r="18" customFormat="false" ht="15" hidden="false" customHeight="false" outlineLevel="0" collapsed="false">
      <c r="B18" s="8" t="s">
        <v>77</v>
      </c>
      <c r="C18" s="20" t="n">
        <f aca="false">C15+C17</f>
        <v>4090</v>
      </c>
      <c r="D18" s="20" t="n">
        <f aca="false">D15+D17</f>
        <v>3888</v>
      </c>
      <c r="E18" s="20" t="n">
        <f aca="false">E15+E17</f>
        <v>3676.43835616438</v>
      </c>
      <c r="F18" s="20" t="n">
        <f aca="false">F15+F17</f>
        <v>3455.44849315069</v>
      </c>
      <c r="G18" s="20" t="n">
        <f aca="false">G15+G17</f>
        <v>3230.30551232877</v>
      </c>
      <c r="H18" s="20" t="n">
        <f aca="false">H15+H17</f>
        <v>3009.42689819178</v>
      </c>
      <c r="I18" s="20" t="n">
        <f aca="false">I15+I17</f>
        <v>2781.99251208329</v>
      </c>
    </row>
    <row r="20" customFormat="false" ht="15" hidden="false" customHeight="false" outlineLevel="0" collapsed="false">
      <c r="B20" s="10" t="s">
        <v>78</v>
      </c>
      <c r="C20" s="15" t="n">
        <v>1000</v>
      </c>
      <c r="D20" s="15" t="n">
        <v>1000</v>
      </c>
      <c r="E20" s="21" t="n">
        <f aca="false">D20</f>
        <v>1000</v>
      </c>
      <c r="F20" s="21" t="n">
        <f aca="false">E20</f>
        <v>1000</v>
      </c>
      <c r="G20" s="21" t="n">
        <f aca="false">F20</f>
        <v>1000</v>
      </c>
      <c r="H20" s="21" t="n">
        <f aca="false">G20</f>
        <v>1000</v>
      </c>
      <c r="I20" s="21" t="n">
        <f aca="false">H20</f>
        <v>1000</v>
      </c>
    </row>
    <row r="21" customFormat="false" ht="15" hidden="false" customHeight="false" outlineLevel="0" collapsed="false">
      <c r="B21" s="10" t="s">
        <v>79</v>
      </c>
      <c r="C21" s="15" t="n">
        <v>2040</v>
      </c>
      <c r="D21" s="15" t="n">
        <v>2848</v>
      </c>
      <c r="E21" s="19" t="n">
        <f aca="false">D21+'Income Statement'!E18+'Cash Flow'!E17</f>
        <v>3777.25</v>
      </c>
      <c r="F21" s="19" t="n">
        <f aca="false">E21+'Income Statement'!F18+'Cash Flow'!F17</f>
        <v>4848.8485</v>
      </c>
      <c r="G21" s="19" t="n">
        <f aca="false">F21+'Income Statement'!G18+'Cash Flow'!G17</f>
        <v>6106.71784</v>
      </c>
      <c r="H21" s="19" t="n">
        <f aca="false">G21+'Income Statement'!H18+'Cash Flow'!H17</f>
        <v>7469.8370338</v>
      </c>
      <c r="I21" s="19" t="n">
        <f aca="false">H21+'Income Statement'!I18+'Cash Flow'!I17</f>
        <v>8976.662874544</v>
      </c>
    </row>
    <row r="22" customFormat="false" ht="15" hidden="false" customHeight="false" outlineLevel="0" collapsed="false">
      <c r="B22" s="8" t="s">
        <v>80</v>
      </c>
      <c r="C22" s="20" t="n">
        <f aca="false">C20+C21</f>
        <v>3040</v>
      </c>
      <c r="D22" s="20" t="n">
        <f aca="false">D20+D21</f>
        <v>3848</v>
      </c>
      <c r="E22" s="20" t="n">
        <f aca="false">E20+E21</f>
        <v>4777.25</v>
      </c>
      <c r="F22" s="20" t="n">
        <f aca="false">F20+F21</f>
        <v>5848.8485</v>
      </c>
      <c r="G22" s="20" t="n">
        <f aca="false">G20+G21</f>
        <v>7106.71784</v>
      </c>
      <c r="H22" s="20" t="n">
        <f aca="false">H20+H21</f>
        <v>8469.8370338</v>
      </c>
      <c r="I22" s="20" t="n">
        <f aca="false">I20+I21</f>
        <v>9976.662874544</v>
      </c>
    </row>
    <row r="23" customFormat="false" ht="15" hidden="false" customHeight="false" outlineLevel="0" collapsed="false">
      <c r="B23" s="8" t="s">
        <v>81</v>
      </c>
      <c r="C23" s="22" t="n">
        <f aca="false">C18+C22</f>
        <v>7130</v>
      </c>
      <c r="D23" s="22" t="n">
        <f aca="false">D18+D22</f>
        <v>7736</v>
      </c>
      <c r="E23" s="22" t="n">
        <f aca="false">E18+E22</f>
        <v>8453.68835616438</v>
      </c>
      <c r="F23" s="22" t="n">
        <f aca="false">F18+F22</f>
        <v>9304.29699315069</v>
      </c>
      <c r="G23" s="22" t="n">
        <f aca="false">G18+G22</f>
        <v>10337.0233523288</v>
      </c>
      <c r="H23" s="22" t="n">
        <f aca="false">H18+H22</f>
        <v>11479.2639319918</v>
      </c>
      <c r="I23" s="22" t="n">
        <f aca="false">I18+I22</f>
        <v>12758.6553866273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true" outlineLevel="0" max="4" min="3" style="0" width="12"/>
    <col collapsed="false" customWidth="true" hidden="false" outlineLevel="0" max="9" min="5" style="0" width="12"/>
  </cols>
  <sheetData>
    <row r="1" customFormat="false" ht="17.35" hidden="false" customHeight="false" outlineLevel="0" collapsed="false">
      <c r="B1" s="5" t="s">
        <v>82</v>
      </c>
    </row>
    <row r="2" customFormat="false" ht="15" hidden="false" customHeight="false" outlineLevel="0" collapsed="false">
      <c r="B2" s="2" t="s">
        <v>19</v>
      </c>
    </row>
    <row r="4" customFormat="false" ht="15" hidden="false" customHeight="false" outlineLevel="0" collapsed="false">
      <c r="B4" s="6"/>
      <c r="C4" s="7" t="s">
        <v>20</v>
      </c>
      <c r="D4" s="7" t="s">
        <v>21</v>
      </c>
      <c r="E4" s="7" t="s">
        <v>22</v>
      </c>
      <c r="F4" s="7" t="s">
        <v>23</v>
      </c>
      <c r="G4" s="7" t="s">
        <v>24</v>
      </c>
      <c r="H4" s="7" t="s">
        <v>25</v>
      </c>
      <c r="I4" s="7" t="s">
        <v>26</v>
      </c>
    </row>
    <row r="5" customFormat="false" ht="15" hidden="false" customHeight="false" outlineLevel="0" collapsed="false">
      <c r="B5" s="8" t="s">
        <v>83</v>
      </c>
    </row>
    <row r="6" customFormat="false" ht="15" hidden="false" customHeight="false" outlineLevel="0" collapsed="false">
      <c r="B6" s="10" t="s">
        <v>84</v>
      </c>
      <c r="E6" s="19" t="n">
        <f aca="false">'Income Statement'!E18</f>
        <v>1327.5</v>
      </c>
      <c r="F6" s="19" t="n">
        <f aca="false">'Income Statement'!F18</f>
        <v>1530.855</v>
      </c>
      <c r="G6" s="19" t="n">
        <f aca="false">'Income Statement'!G18</f>
        <v>1796.9562</v>
      </c>
      <c r="H6" s="19" t="n">
        <f aca="false">'Income Statement'!H18</f>
        <v>1947.313134</v>
      </c>
      <c r="I6" s="19" t="n">
        <f aca="false">'Income Statement'!I18</f>
        <v>2152.60834392</v>
      </c>
    </row>
    <row r="7" customFormat="false" ht="15" hidden="false" customHeight="false" outlineLevel="0" collapsed="false">
      <c r="B7" s="10" t="s">
        <v>85</v>
      </c>
      <c r="E7" s="19" t="n">
        <f aca="false">-'Income Statement'!E13</f>
        <v>660</v>
      </c>
      <c r="F7" s="19" t="n">
        <f aca="false">-'Income Statement'!F13</f>
        <v>719.4</v>
      </c>
      <c r="G7" s="19" t="n">
        <f aca="false">-'Income Statement'!G13</f>
        <v>776.952</v>
      </c>
      <c r="H7" s="19" t="n">
        <f aca="false">-'Income Statement'!H13</f>
        <v>831.33864</v>
      </c>
      <c r="I7" s="19" t="n">
        <f aca="false">-'Income Statement'!I13</f>
        <v>881.2189584</v>
      </c>
    </row>
    <row r="8" customFormat="false" ht="15" hidden="false" customHeight="false" outlineLevel="0" collapsed="false">
      <c r="B8" s="10" t="s">
        <v>86</v>
      </c>
      <c r="E8" s="19" t="n">
        <f aca="false">'Balance Sheet'!D7-'Balance Sheet'!E7</f>
        <v>-164.219178082192</v>
      </c>
      <c r="F8" s="19" t="n">
        <f aca="false">'Balance Sheet'!E7-'Balance Sheet'!F7</f>
        <v>-162.739726027398</v>
      </c>
      <c r="G8" s="19" t="n">
        <f aca="false">'Balance Sheet'!F7-'Balance Sheet'!G7</f>
        <v>-157.676712328767</v>
      </c>
      <c r="H8" s="19" t="n">
        <f aca="false">'Balance Sheet'!G7-'Balance Sheet'!H7</f>
        <v>-149.004493150685</v>
      </c>
      <c r="I8" s="19" t="n">
        <f aca="false">'Balance Sheet'!H7-'Balance Sheet'!I7</f>
        <v>-136.658406575343</v>
      </c>
    </row>
    <row r="9" customFormat="false" ht="15" hidden="false" customHeight="false" outlineLevel="0" collapsed="false">
      <c r="B9" s="10" t="s">
        <v>87</v>
      </c>
      <c r="E9" s="19" t="n">
        <f aca="false">'Balance Sheet'!D8-'Balance Sheet'!E8</f>
        <v>-117.917808219178</v>
      </c>
      <c r="F9" s="19" t="n">
        <f aca="false">'Balance Sheet'!E8-'Balance Sheet'!F8</f>
        <v>-105.346849315069</v>
      </c>
      <c r="G9" s="19" t="n">
        <f aca="false">'Balance Sheet'!F8-'Balance Sheet'!G8</f>
        <v>-99.8093589041098</v>
      </c>
      <c r="H9" s="19" t="n">
        <f aca="false">'Balance Sheet'!G8-'Balance Sheet'!H8</f>
        <v>-105.495181150685</v>
      </c>
      <c r="I9" s="19" t="n">
        <f aca="false">'Balance Sheet'!H8-'Balance Sheet'!I8</f>
        <v>-96.7541518553428</v>
      </c>
    </row>
    <row r="10" customFormat="false" ht="15" hidden="false" customHeight="false" outlineLevel="0" collapsed="false">
      <c r="B10" s="10" t="s">
        <v>88</v>
      </c>
      <c r="E10" s="19" t="n">
        <f aca="false">'Balance Sheet'!E14-'Balance Sheet'!D14</f>
        <v>88.4383561643838</v>
      </c>
      <c r="F10" s="19" t="n">
        <f aca="false">'Balance Sheet'!F14-'Balance Sheet'!E14</f>
        <v>79.0101369863014</v>
      </c>
      <c r="G10" s="19" t="n">
        <f aca="false">'Balance Sheet'!G14-'Balance Sheet'!F14</f>
        <v>74.8570191780823</v>
      </c>
      <c r="H10" s="19" t="n">
        <f aca="false">'Balance Sheet'!H14-'Balance Sheet'!G14</f>
        <v>79.1213858630135</v>
      </c>
      <c r="I10" s="19" t="n">
        <f aca="false">'Balance Sheet'!I14-'Balance Sheet'!H14</f>
        <v>72.5656138915072</v>
      </c>
    </row>
    <row r="11" customFormat="false" ht="15" hidden="false" customHeight="false" outlineLevel="0" collapsed="false">
      <c r="B11" s="8" t="s">
        <v>89</v>
      </c>
      <c r="E11" s="20" t="n">
        <f aca="false">SUM(E6:E10)</f>
        <v>1793.80136986301</v>
      </c>
      <c r="F11" s="20" t="n">
        <f aca="false">SUM(F6:F10)</f>
        <v>2061.17856164384</v>
      </c>
      <c r="G11" s="20" t="n">
        <f aca="false">SUM(G6:G10)</f>
        <v>2391.27914794521</v>
      </c>
      <c r="H11" s="20" t="n">
        <f aca="false">SUM(H6:H10)</f>
        <v>2603.27348556165</v>
      </c>
      <c r="I11" s="20" t="n">
        <f aca="false">SUM(I6:I10)</f>
        <v>2872.98035778082</v>
      </c>
    </row>
    <row r="12" customFormat="false" ht="15" hidden="false" customHeight="false" outlineLevel="0" collapsed="false">
      <c r="B12" s="8" t="s">
        <v>90</v>
      </c>
    </row>
    <row r="13" customFormat="false" ht="15" hidden="false" customHeight="false" outlineLevel="0" collapsed="false">
      <c r="B13" s="10" t="s">
        <v>91</v>
      </c>
      <c r="E13" s="19" t="n">
        <f aca="false">-'Income Statement'!E5*Assumptions!E17</f>
        <v>-858</v>
      </c>
      <c r="F13" s="19" t="n">
        <f aca="false">-'Income Statement'!F5*Assumptions!F17</f>
        <v>-863.28</v>
      </c>
      <c r="G13" s="19" t="n">
        <f aca="false">-'Income Statement'!G5*Assumptions!G17</f>
        <v>-932.3424</v>
      </c>
      <c r="H13" s="19" t="n">
        <f aca="false">-'Income Statement'!H5*Assumptions!H17</f>
        <v>-914.472504</v>
      </c>
      <c r="I13" s="19" t="n">
        <f aca="false">-'Income Statement'!I5*Assumptions!I17</f>
        <v>-969.34085424</v>
      </c>
    </row>
    <row r="14" customFormat="false" ht="15" hidden="false" customHeight="false" outlineLevel="0" collapsed="false">
      <c r="B14" s="8" t="s">
        <v>92</v>
      </c>
      <c r="E14" s="20" t="n">
        <f aca="false">E13</f>
        <v>-858</v>
      </c>
      <c r="F14" s="20" t="n">
        <f aca="false">F13</f>
        <v>-863.28</v>
      </c>
      <c r="G14" s="20" t="n">
        <f aca="false">G13</f>
        <v>-932.3424</v>
      </c>
      <c r="H14" s="20" t="n">
        <f aca="false">H13</f>
        <v>-914.472504</v>
      </c>
      <c r="I14" s="20" t="n">
        <f aca="false">I13</f>
        <v>-969.34085424</v>
      </c>
    </row>
    <row r="15" customFormat="false" ht="15" hidden="false" customHeight="false" outlineLevel="0" collapsed="false">
      <c r="B15" s="8" t="s">
        <v>93</v>
      </c>
    </row>
    <row r="16" customFormat="false" ht="15" hidden="false" customHeight="false" outlineLevel="0" collapsed="false">
      <c r="B16" s="10" t="s">
        <v>46</v>
      </c>
      <c r="E16" s="19" t="n">
        <f aca="false">'Balance Sheet'!E17-'Balance Sheet'!D17</f>
        <v>-300</v>
      </c>
      <c r="F16" s="19" t="n">
        <f aca="false">'Balance Sheet'!F17-'Balance Sheet'!E17</f>
        <v>-300</v>
      </c>
      <c r="G16" s="19" t="n">
        <f aca="false">'Balance Sheet'!G17-'Balance Sheet'!F17</f>
        <v>-300</v>
      </c>
      <c r="H16" s="19" t="n">
        <f aca="false">'Balance Sheet'!H17-'Balance Sheet'!G17</f>
        <v>-300</v>
      </c>
      <c r="I16" s="19" t="n">
        <f aca="false">'Balance Sheet'!I17-'Balance Sheet'!H17</f>
        <v>-300</v>
      </c>
    </row>
    <row r="17" customFormat="false" ht="15" hidden="false" customHeight="false" outlineLevel="0" collapsed="false">
      <c r="B17" s="10" t="s">
        <v>94</v>
      </c>
      <c r="E17" s="19" t="n">
        <f aca="false">-MAX(0,'Income Statement'!E18*Assumptions!E28)</f>
        <v>-398.25</v>
      </c>
      <c r="F17" s="19" t="n">
        <f aca="false">-MAX(0,'Income Statement'!F18*Assumptions!F28)</f>
        <v>-459.2565</v>
      </c>
      <c r="G17" s="19" t="n">
        <f aca="false">-MAX(0,'Income Statement'!G18*Assumptions!G28)</f>
        <v>-539.08686</v>
      </c>
      <c r="H17" s="19" t="n">
        <f aca="false">-MAX(0,'Income Statement'!H18*Assumptions!H28)</f>
        <v>-584.193940200001</v>
      </c>
      <c r="I17" s="19" t="n">
        <f aca="false">-MAX(0,'Income Statement'!I18*Assumptions!I28)</f>
        <v>-645.782503176</v>
      </c>
    </row>
    <row r="18" customFormat="false" ht="15" hidden="false" customHeight="false" outlineLevel="0" collapsed="false">
      <c r="B18" s="8" t="s">
        <v>95</v>
      </c>
      <c r="E18" s="20" t="n">
        <f aca="false">E16+E17</f>
        <v>-698.25</v>
      </c>
      <c r="F18" s="20" t="n">
        <f aca="false">F16+F17</f>
        <v>-759.2565</v>
      </c>
      <c r="G18" s="20" t="n">
        <f aca="false">G16+G17</f>
        <v>-839.08686</v>
      </c>
      <c r="H18" s="20" t="n">
        <f aca="false">H16+H17</f>
        <v>-884.193940200001</v>
      </c>
      <c r="I18" s="20" t="n">
        <f aca="false">I16+I17</f>
        <v>-945.782503176</v>
      </c>
    </row>
    <row r="19" customFormat="false" ht="15" hidden="false" customHeight="false" outlineLevel="0" collapsed="false">
      <c r="B19" s="8" t="s">
        <v>96</v>
      </c>
      <c r="E19" s="23" t="n">
        <f aca="false">E11+E14+E18</f>
        <v>237.551369863014</v>
      </c>
      <c r="F19" s="23" t="n">
        <f aca="false">F11+F14+F18</f>
        <v>438.642061643835</v>
      </c>
      <c r="G19" s="23" t="n">
        <f aca="false">G11+G14+G18</f>
        <v>619.849887945206</v>
      </c>
      <c r="H19" s="23" t="n">
        <f aca="false">H11+H14+H18</f>
        <v>804.607041361646</v>
      </c>
      <c r="I19" s="23" t="n">
        <f aca="false">I11+I14+I18</f>
        <v>957.857000364823</v>
      </c>
    </row>
    <row r="20" customFormat="false" ht="15" hidden="false" customHeight="false" outlineLevel="0" collapsed="false">
      <c r="B20" s="8" t="s">
        <v>97</v>
      </c>
      <c r="E20" s="24" t="n">
        <f aca="false">'Balance Sheet'!D6+E19</f>
        <v>1145.55136986301</v>
      </c>
      <c r="F20" s="24" t="n">
        <f aca="false">'Balance Sheet'!E6+F19</f>
        <v>1584.19343150685</v>
      </c>
      <c r="G20" s="24" t="n">
        <f aca="false">'Balance Sheet'!F6+G19</f>
        <v>2204.04331945206</v>
      </c>
      <c r="H20" s="24" t="n">
        <f aca="false">'Balance Sheet'!G6+H19</f>
        <v>3008.6503608137</v>
      </c>
      <c r="I20" s="24" t="n">
        <f aca="false">'Balance Sheet'!H6+I19</f>
        <v>3966.50736117852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9" min="3" style="0" width="12"/>
  </cols>
  <sheetData>
    <row r="1" customFormat="false" ht="17.35" hidden="false" customHeight="false" outlineLevel="0" collapsed="false">
      <c r="B1" s="5" t="s">
        <v>98</v>
      </c>
    </row>
    <row r="2" customFormat="false" ht="15" hidden="false" customHeight="false" outlineLevel="0" collapsed="false">
      <c r="B2" s="2" t="s">
        <v>99</v>
      </c>
    </row>
    <row r="4" customFormat="false" ht="15" hidden="false" customHeight="false" outlineLevel="0" collapsed="false">
      <c r="B4" s="6"/>
      <c r="C4" s="7" t="s">
        <v>20</v>
      </c>
      <c r="D4" s="7" t="s">
        <v>21</v>
      </c>
      <c r="E4" s="7" t="s">
        <v>22</v>
      </c>
      <c r="F4" s="7" t="s">
        <v>23</v>
      </c>
      <c r="G4" s="7" t="s">
        <v>24</v>
      </c>
      <c r="H4" s="7" t="s">
        <v>25</v>
      </c>
      <c r="I4" s="7" t="s">
        <v>26</v>
      </c>
    </row>
    <row r="5" customFormat="false" ht="15" hidden="false" customHeight="false" outlineLevel="0" collapsed="false">
      <c r="B5" s="10" t="s">
        <v>100</v>
      </c>
      <c r="C5" s="19" t="n">
        <f aca="false">ROUND('Balance Sheet'!C11-'Balance Sheet'!C23,2)</f>
        <v>0</v>
      </c>
      <c r="D5" s="19" t="n">
        <f aca="false">ROUND('Balance Sheet'!D11-'Balance Sheet'!D23,2)</f>
        <v>0</v>
      </c>
      <c r="E5" s="19" t="n">
        <f aca="false">ROUND('Balance Sheet'!E11-'Balance Sheet'!E23,2)</f>
        <v>0</v>
      </c>
      <c r="F5" s="19" t="n">
        <f aca="false">ROUND('Balance Sheet'!F11-'Balance Sheet'!F23,2)</f>
        <v>0</v>
      </c>
      <c r="G5" s="19" t="n">
        <f aca="false">ROUND('Balance Sheet'!G11-'Balance Sheet'!G23,2)</f>
        <v>0</v>
      </c>
      <c r="H5" s="19" t="n">
        <f aca="false">ROUND('Balance Sheet'!H11-'Balance Sheet'!H23,2)</f>
        <v>0</v>
      </c>
      <c r="I5" s="19" t="n">
        <f aca="false">ROUND('Balance Sheet'!I11-'Balance Sheet'!I23,2)</f>
        <v>0</v>
      </c>
    </row>
    <row r="6" customFormat="false" ht="15" hidden="false" customHeight="false" outlineLevel="0" collapsed="false">
      <c r="B6" s="10" t="s">
        <v>101</v>
      </c>
      <c r="E6" s="19" t="n">
        <f aca="false">ROUND('Balance Sheet'!E6-'Cash Flow'!E20,2)</f>
        <v>0</v>
      </c>
      <c r="F6" s="19" t="n">
        <f aca="false">ROUND('Balance Sheet'!F6-'Cash Flow'!F20,2)</f>
        <v>0</v>
      </c>
      <c r="G6" s="19" t="n">
        <f aca="false">ROUND('Balance Sheet'!G6-'Cash Flow'!G20,2)</f>
        <v>0</v>
      </c>
      <c r="H6" s="19" t="n">
        <f aca="false">ROUND('Balance Sheet'!H6-'Cash Flow'!H20,2)</f>
        <v>0</v>
      </c>
      <c r="I6" s="19" t="n">
        <f aca="false">ROUND('Balance Sheet'!I6-'Cash Flow'!I20,2)</f>
        <v>0</v>
      </c>
    </row>
    <row r="8" customFormat="false" ht="15" hidden="false" customHeight="false" outlineLevel="0" collapsed="false">
      <c r="B8" s="8" t="s">
        <v>102</v>
      </c>
      <c r="C8" s="8" t="str">
        <f aca="false">IF(SUMPRODUCT(ABS(C5:I6))=0,"OK","ERROR")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2026-10-18T16:33:51Z</dcterms:created>
  <dc:creator>openpyxl</dc:creator>
  <dc:description/>
  <dc:language>en-US</dc:language>
  <cp:lastModifiedBy/>
  <dcterms:modified xsi:type="dcterms:W3CDTF">2026-10-18T16:33:51Z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